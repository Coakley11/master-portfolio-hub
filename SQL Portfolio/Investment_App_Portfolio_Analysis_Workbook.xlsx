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e774fe593643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87dc2d5c6794e62"/>
    <x:sheet xmlns:r="http://schemas.openxmlformats.org/officeDocument/2006/relationships" name="Portfolio_Inputs" sheetId="2" r:id="R46e40d7e12d441a6"/>
    <x:sheet xmlns:r="http://schemas.openxmlformats.org/officeDocument/2006/relationships" name="Monthly_Returns" sheetId="3" r:id="Rea794936da224458"/>
    <x:sheet xmlns:r="http://schemas.openxmlformats.org/officeDocument/2006/relationships" name="Risk_Metrics" sheetId="4" r:id="R72b110ce2bd441b7"/>
    <x:sheet xmlns:r="http://schemas.openxmlformats.org/officeDocument/2006/relationships" name="Correlation_Data" sheetId="5" r:id="Rb7fc2df985954df9"/>
    <x:sheet xmlns:r="http://schemas.openxmlformats.org/officeDocument/2006/relationships" name="Monte_Carlo_Scenarios" sheetId="6" r:id="R3801fcb873e04566"/>
    <x:sheet xmlns:r="http://schemas.openxmlformats.org/officeDocument/2006/relationships" name="Optimizer_Portfolios" sheetId="7" r:id="R3e98152159684d1e"/>
    <x:sheet xmlns:r="http://schemas.openxmlformats.org/officeDocument/2006/relationships" name="Pivot_Practice" sheetId="8" r:id="R6d8f3f83dfb545d0"/>
    <x:sheet xmlns:r="http://schemas.openxmlformats.org/officeDocument/2006/relationships" name="SQL_Practice" sheetId="9" r:id="R1bc63f63db3c4208"/>
    <x:sheet xmlns:r="http://schemas.openxmlformats.org/officeDocument/2006/relationships" name="Dashboard_Tasks" sheetId="10" r:id="Rd7e341ab7ea94c84"/>
    <x:sheet xmlns:r="http://schemas.openxmlformats.org/officeDocument/2006/relationships" name="Dashboard" sheetId="11" r:id="R371d28c5e3224a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$#,##0;[Red]($#,##0);-"/>
    <x:numFmt numFmtId="201" formatCode="0.0%"/>
    <x:numFmt numFmtId="202" formatCode="0.0%;[Red](0.0%);-"/>
    <x:numFmt numFmtId="203" formatCode="0.00x"/>
    <x:numFmt numFmtId="204" formatCode="0.0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sz val="11"/>
      <x:color rgb="0000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0F172A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1" xfId="0" applyNumberFormat="1" applyFont="1" applyFill="1" applyBorder="1"/>
    <x:xf numFmtId="201" fontId="3" fillId="0" borderId="1" xfId="0" applyNumberFormat="1" applyFont="1" applyFill="1" applyBorder="1"/>
    <x:xf numFmtId="0" fontId="3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e4c48e1d1144c0" /><Relationship Type="http://schemas.openxmlformats.org/officeDocument/2006/relationships/theme" Target="/xl/theme/theme1.xml" Id="Rad2baae93a4f4b44" /><Relationship Type="http://schemas.openxmlformats.org/officeDocument/2006/relationships/sharedStrings" Target="/xl/sharedStrings.xml" Id="Rbb88b3d70a4746d7" /><Relationship Type="http://schemas.openxmlformats.org/officeDocument/2006/relationships/worksheet" Target="/xl/worksheets/sheet1.xml" Id="Rd87dc2d5c6794e62" /><Relationship Type="http://schemas.openxmlformats.org/officeDocument/2006/relationships/worksheet" Target="/xl/worksheets/sheet2.xml" Id="R46e40d7e12d441a6" /><Relationship Type="http://schemas.openxmlformats.org/officeDocument/2006/relationships/worksheet" Target="/xl/worksheets/sheet3.xml" Id="Rea794936da224458" /><Relationship Type="http://schemas.openxmlformats.org/officeDocument/2006/relationships/worksheet" Target="/xl/worksheets/sheet4.xml" Id="R72b110ce2bd441b7" /><Relationship Type="http://schemas.openxmlformats.org/officeDocument/2006/relationships/worksheet" Target="/xl/worksheets/sheet5.xml" Id="Rb7fc2df985954df9" /><Relationship Type="http://schemas.openxmlformats.org/officeDocument/2006/relationships/worksheet" Target="/xl/worksheets/sheet6.xml" Id="R3801fcb873e04566" /><Relationship Type="http://schemas.openxmlformats.org/officeDocument/2006/relationships/worksheet" Target="/xl/worksheets/sheet7.xml" Id="R3e98152159684d1e" /><Relationship Type="http://schemas.openxmlformats.org/officeDocument/2006/relationships/worksheet" Target="/xl/worksheets/sheet8.xml" Id="R6d8f3f83dfb545d0" /><Relationship Type="http://schemas.openxmlformats.org/officeDocument/2006/relationships/worksheet" Target="/xl/worksheets/sheet9.xml" Id="R1bc63f63db3c4208" /><Relationship Type="http://schemas.openxmlformats.org/officeDocument/2006/relationships/worksheet" Target="/xl/worksheets/sheet10.xml" Id="Rd7e341ab7ea94c84" /><Relationship Type="http://schemas.openxmlformats.org/officeDocument/2006/relationships/worksheet" Target="/xl/worksheets/sheet11.xml" Id="R371d28c5e3224aa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138c7fbc9104446" /><Relationship Type="http://schemas.openxmlformats.org/officeDocument/2006/relationships/chart" Target="/xl/drawings/charts/chart2.xml" Id="R226272db73944ccc" /><Relationship Type="http://schemas.openxmlformats.org/officeDocument/2006/relationships/chart" Target="/xl/drawings/charts/chart3.xml" Id="R0a3a1fbb293b46b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Allocation by Ticker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Allocation %</c:v>
          </c:tx>
          <c:cat>
            <c:strRef>
              <c:f>'Dashboard'!$G$3:$G$8</c:f>
              <c:strCache>
                <c:ptCount val="0"/>
              </c:strCache>
            </c:strRef>
          </c:cat>
          <c:val>
            <c:numRef>
              <c:f>'Dashboard'!$H$3:$H$8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Portfolio Monthly Returns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Portfolio Return</c:v>
          </c:tx>
          <c:cat>
            <c:strRef>
              <c:f>'Dashboard'!$G$12:$G$35</c:f>
              <c:strCache>
                <c:ptCount val="0"/>
              </c:strCache>
            </c:strRef>
          </c:cat>
          <c:val>
            <c:numRef>
              <c:f>'Dashboard'!$H$12:$H$35</c:f>
              <c:numCache>
                <c:formatCode>0.0%;[Red](0.0%);-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Risk-Return by Ticker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Annual Return</c:v>
          </c:tx>
          <c:cat>
            <c:strRef>
              <c:f>'Dashboard'!$J$3:$J$8</c:f>
              <c:strCache>
                <c:ptCount val="0"/>
              </c:strCache>
            </c:strRef>
          </c:cat>
          <c:val>
            <c:numRef>
              <c:f>'Dashboard'!$K$3:$K$8</c:f>
              <c:numCache>
                <c:formatCode>0.0%;[Red](0.0%);-</c:formatCode>
                <c:ptCount val="0"/>
              </c:numCache>
            </c:numRef>
          </c:val>
        </c:ser>
        <c:ser>
          <c:idx val="1"/>
          <c:order val="1"/>
          <c:tx>
            <c:v>Volatility</c:v>
          </c:tx>
          <c:cat>
            <c:strRef>
              <c:f>'Dashboard'!$J$3:$J$8</c:f>
              <c:strCache>
                <c:ptCount val="0"/>
              </c:strCache>
            </c:strRef>
          </c:cat>
          <c:val>
            <c:numRef>
              <c:f>'Dashboard'!$L$3:$L$8</c:f>
              <c:numCache>
                <c:formatCode>0.0%;[Red](0.0%);-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6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138c7fbc9104446"/>
        </a:graphicData>
      </a:graphic>
    </xdr:graphicFrame>
    <xdr:clientData/>
  </xdr:twoCellAnchor>
  <xdr:twoCellAnchor>
    <xdr:from>
      <xdr:col>0</xdr:col>
      <xdr:colOff>0</xdr:colOff>
      <xdr:row>31</xdr:row>
      <xdr:rowOff>0</xdr:rowOff>
    </xdr:from>
    <xdr:to>
      <xdr:col>6</xdr:col>
      <xdr:colOff>0</xdr:colOff>
      <xdr:row>47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26272db73944ccc"/>
        </a:graphicData>
      </a:graphic>
    </xdr:graphicFrame>
    <xdr:clientData/>
  </xdr:twoCellAnchor>
  <xdr:twoCellAnchor>
    <xdr:from>
      <xdr:col>6</xdr:col>
      <xdr:colOff>0</xdr:colOff>
      <xdr:row>14</xdr:row>
      <xdr:rowOff>0</xdr:rowOff>
    </xdr:from>
    <xdr:to>
      <xdr:col>12</xdr:col>
      <xdr:colOff>0</xdr:colOff>
      <xdr:row>30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a3a1fbb293b46b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ortfolioInputsTable" displayName="PortfolioInputsTable" ref="A10:E16" headerRowCount="1">
  <x:tableColumns count="5">
    <x:tableColumn id="1" name="Ticker"/>
    <x:tableColumn id="2" name="Asset Type"/>
    <x:tableColumn id="3" name="Allocation %"/>
    <x:tableColumn id="4" name="Dollar Allocation"/>
    <x:tableColumn id="5" name="Investment Question"/>
  </x:tableColumns>
  <x:tableStyleInfo name="TableStyleMedium2" showRowStripes="1"/>
</x:table>
</file>

<file path=xl/tables/table2.xml><?xml version="1.0" encoding="utf-8"?>
<x:table xmlns:x="http://schemas.openxmlformats.org/spreadsheetml/2006/main" id="2" name="MonthlyReturnsTable" displayName="MonthlyReturnsTable" ref="A1:J25" headerRowCount="1">
  <x:tableColumns count="10">
    <x:tableColumn id="1" name="Month"/>
    <x:tableColumn id="2" name="SPY"/>
    <x:tableColumn id="3" name="QQQ"/>
    <x:tableColumn id="4" name="AGG"/>
    <x:tableColumn id="5" name="BIL"/>
    <x:tableColumn id="6" name="VNQ"/>
    <x:tableColumn id="7" name="VIG"/>
    <x:tableColumn id="8" name="Portfolio_Return"/>
    <x:tableColumn id="9" name="Market_Return_SPY"/>
    <x:tableColumn id="10" name="Excess_Return_vs_SPY"/>
  </x:tableColumns>
  <x:tableStyleInfo name="TableStyleMedium2" showRowStripes="1"/>
</x:table>
</file>

<file path=xl/tables/table3.xml><?xml version="1.0" encoding="utf-8"?>
<x:table xmlns:x="http://schemas.openxmlformats.org/spreadsheetml/2006/main" id="3" name="RiskMetricsTable" displayName="RiskMetricsTable" ref="A1:G7" headerRowCount="1">
  <x:tableColumns count="7">
    <x:tableColumn id="1" name="Ticker"/>
    <x:tableColumn id="2" name="Asset Type"/>
    <x:tableColumn id="3" name="Allocation %"/>
    <x:tableColumn id="4" name="Annual Return"/>
    <x:tableColumn id="5" name="Annual Volatility"/>
    <x:tableColumn id="6" name="Sharpe Ratio"/>
    <x:tableColumn id="7" name="Max Drawdown"/>
  </x:tableColumns>
  <x:tableStyleInfo name="TableStyleMedium2" showRowStripes="1"/>
</x:table>
</file>

<file path=xl/tables/table4.xml><?xml version="1.0" encoding="utf-8"?>
<x:table xmlns:x="http://schemas.openxmlformats.org/spreadsheetml/2006/main" id="4" name="CorrelationTable" displayName="CorrelationTable" ref="A1:G7" headerRowCount="1">
  <x:tableColumns count="7">
    <x:tableColumn id="1" name="Ticker"/>
    <x:tableColumn id="2" name="SPY"/>
    <x:tableColumn id="3" name="QQQ"/>
    <x:tableColumn id="4" name="AGG"/>
    <x:tableColumn id="5" name="BIL"/>
    <x:tableColumn id="6" name="VNQ"/>
    <x:tableColumn id="7" name="VIG"/>
  </x:tableColumns>
  <x:tableStyleInfo name="TableStyleMedium2" showRowStripes="1"/>
</x:table>
</file>

<file path=xl/tables/table5.xml><?xml version="1.0" encoding="utf-8"?>
<x:table xmlns:x="http://schemas.openxmlformats.org/spreadsheetml/2006/main" id="5" name="MonteCarloTable" displayName="MonteCarloTable" ref="A1:B501" headerRowCount="1">
  <x:tableColumns count="2">
    <x:tableColumn id="1" name="Simulation_ID"/>
    <x:tableColumn id="2" name="Ending_Value_10Y"/>
  </x:tableColumns>
  <x:tableStyleInfo name="TableStyleMedium2" showRowStripes="1"/>
</x:table>
</file>

<file path=xl/tables/table6.xml><?xml version="1.0" encoding="utf-8"?>
<x:table xmlns:x="http://schemas.openxmlformats.org/spreadsheetml/2006/main" id="6" name="OptimizerTable" displayName="OptimizerTable" ref="A1:J252" headerRowCount="1">
  <x:tableColumns count="10">
    <x:tableColumn id="1" name="Portfolio_ID"/>
    <x:tableColumn id="2" name="Return"/>
    <x:tableColumn id="3" name="Volatility"/>
    <x:tableColumn id="4" name="Sharpe"/>
    <x:tableColumn id="5" name="SPY_Weight"/>
    <x:tableColumn id="6" name="QQQ_Weight"/>
    <x:tableColumn id="7" name="AGG_Weight"/>
    <x:tableColumn id="8" name="BIL_Weight"/>
    <x:tableColumn id="9" name="VNQ_Weight"/>
    <x:tableColumn id="10" name="VIG_Weight"/>
  </x:tableColumns>
  <x:tableStyleInfo name="TableStyleMedium2" showRowStripes="1"/>
</x:table>
</file>

<file path=xl/tables/table7.xml><?xml version="1.0" encoding="utf-8"?>
<x:table xmlns:x="http://schemas.openxmlformats.org/spreadsheetml/2006/main" id="7" name="PivotPracticeTable" displayName="PivotPracticeTable" ref="A1:F11" headerRowCount="1">
  <x:tableColumns count="6">
    <x:tableColumn id="1" name="Exercise #"/>
    <x:tableColumn id="2" name="Data Sheet"/>
    <x:tableColumn id="3" name="Rows"/>
    <x:tableColumn id="4" name="Columns"/>
    <x:tableColumn id="5" name="Values"/>
    <x:tableColumn id="6" name="Business Question"/>
  </x:tableColumns>
  <x:tableStyleInfo name="TableStyleMedium2" showRowStripes="1"/>
</x:table>
</file>

<file path=xl/tables/table8.xml><?xml version="1.0" encoding="utf-8"?>
<x:table xmlns:x="http://schemas.openxmlformats.org/spreadsheetml/2006/main" id="8" name="SQLPracticeTable" displayName="SQLPracticeTable" ref="A1:C13" headerRowCount="1">
  <x:tableColumns count="3">
    <x:tableColumn id="1" name="#"/>
    <x:tableColumn id="2" name="Question"/>
    <x:tableColumn id="3" name="SQL Skeleton / Solution"/>
  </x:tableColumns>
  <x:tableStyleInfo name="TableStyleMedium2" showRowStripes="1"/>
</x:table>
</file>

<file path=xl/tables/table9.xml><?xml version="1.0" encoding="utf-8"?>
<x:table xmlns:x="http://schemas.openxmlformats.org/spreadsheetml/2006/main" id="9" name="DashboardTasksTable" displayName="DashboardTasksTable" ref="A1:D10" headerRowCount="1">
  <x:tableColumns count="4">
    <x:tableColumn id="1" name="Task"/>
    <x:tableColumn id="2" name="Chart/Table"/>
    <x:tableColumn id="3" name="Data Source"/>
    <x:tableColumn id="4" name="What to Explai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69834f49f5e49e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d7c7a0e60b44bb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41a53c65ee44e9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b28f55f01ec42a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6b401d1380944d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7355483b3c5458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fc9efa8217d468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54c7d9d43744a1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0050a9e4f6e4c3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f5fc824e2fb14bbc" /></Relationships>
</file>

<file path=xl/worksheets/sheet1.xml><?xml version="1.0" encoding="utf-8"?>
<x:worksheet xmlns:x="http://schemas.openxmlformats.org/spreadsheetml/2006/main">
  <x:sheetFormatPr defaultRowHeight="15"/>
  <x:cols>
    <x:col min="1" max="1" width="160.3000030517578" hidden="0" customWidth="1"/>
  </x:cols>
  <x:sheetData>
    <x:row r="1">
      <x:c r="A1" s="11" t="str">
        <x:v>Investment Portfolio Analyst Practice Workbook</x:v>
      </x:c>
      <x:c r="B1" s="11"/>
      <x:c r="C1" s="11"/>
      <x:c r="D1" s="11"/>
      <x:c r="E1" s="11"/>
      <x:c r="F1" s="11"/>
      <x:c r="G1" s="8"/>
      <x:c r="H1" s="8"/>
      <x:c r="I1" s="8"/>
      <x:c r="J1" s="8"/>
      <x:c r="K1" s="8"/>
    </x:row>
    <x:row r="3">
      <x:c r="A3" t="str">
        <x:v>Purpose</x:v>
      </x:c>
    </x:row>
    <x:row r="4">
      <x:c r="A4" t="str">
        <x:v>Practice investment analyst work based on your Streamlit app: allocations, Sharpe ratio, Monte Carlo, efficient frontier, risk/return, scenario analysis, SQL, pivot tables, and dashboard storytelling.</x:v>
      </x:c>
    </x:row>
    <x:row r="6">
      <x:c r="A6" t="str">
        <x:v>Important note</x:v>
      </x:c>
    </x:row>
    <x:row r="7">
      <x:c r="A7" t="str">
        <x:v>Data is synthetic training data modeled after the tickers and workflow in your app. For a real portfolio project, replace the Monthly_Returns sheet with yfinance/API exports and cite data source URLs.</x:v>
      </x:c>
    </x:row>
    <x:row r="9">
      <x:c r="A9" t="str">
        <x:v>Source / App logic</x:v>
      </x:c>
    </x:row>
    <x:row r="10">
      <x:c r="A10" t="str">
        <x:v>Based on user-provided Streamlit app: Investment Portfolio Analyzer Pro using yfinance tickers, Sharpe ratio, Monte Carlo simulation, random portfolio optimizer, efficient frontier, and scenario analysis.</x:v>
      </x:c>
    </x:row>
    <x:row r="12">
      <x:c r="A12" t="str">
        <x:v>How to use</x:v>
      </x:c>
    </x:row>
    <x:row r="13">
      <x:c r="A13" t="str">
        <x:v>1. Use Portfolio_Inputs to understand capital, risk-free rate, ticker allocation, and asset class mix.</x:v>
      </x:c>
    </x:row>
    <x:row r="14">
      <x:c r="A14" t="str">
        <x:v>2. Use Monthly_Returns and Risk_Metrics to analyze performance and risk.</x:v>
      </x:c>
    </x:row>
    <x:row r="15">
      <x:c r="A15" t="str">
        <x:v>3. Build pivot tables from Monthly_Returns, Risk_Metrics, Monte_Carlo_Scenarios, and Optimizer_Portfolios.</x:v>
      </x:c>
    </x:row>
    <x:row r="16">
      <x:c r="A16" t="str">
        <x:v>4. Answer SQL_Practice questions by importing the sheets into SQLite/Postgres/BigQuery.</x:v>
      </x:c>
    </x:row>
    <x:row r="17">
      <x:c r="A17" t="str">
        <x:v>5. Build charts and a dashboard using Dashboard_Tasks.</x:v>
      </x:c>
    </x:row>
    <x:row r="18">
      <x:c r="A18" t="str">
        <x:v>6. Write a short analyst recommendation: keep current allocation, increase/decrease risk, or use optimizer allocation.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7.190000534057617" hidden="0" customWidth="1"/>
    <x:col min="2" max="2" width="78.19999694824219" hidden="0" customWidth="1"/>
    <x:col min="3" max="3" width="9.829999923706055" hidden="0" customWidth="1"/>
    <x:col min="4" max="4" width="13.1899995803833" hidden="0" customWidth="1"/>
    <x:col min="5" max="5" width="71.33000183105469" hidden="0" customWidth="1"/>
  </x:cols>
  <x:sheetData>
    <x:row r="1">
      <x:c r="A1" s="8" t="str">
        <x:v>Portfolio Inputs and Assumptions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</x:row>
    <x:row r="3">
      <x:c r="A3" t="str">
        <x:v>Starting Capital ($)</x:v>
      </x:c>
      <x:c r="B3" s="18" t="n">
        <x:v>200000</x:v>
      </x:c>
    </x:row>
    <x:row r="4">
      <x:c r="A4" t="str">
        <x:v>Risk-Free Rate</x:v>
      </x:c>
      <x:c r="B4" s="19" t="n">
        <x:v>0.04</x:v>
      </x:c>
    </x:row>
    <x:row r="5">
      <x:c r="A5" t="str">
        <x:v>Projection Years</x:v>
      </x:c>
      <x:c r="B5" s="20" t="n">
        <x:v>10</x:v>
      </x:c>
    </x:row>
    <x:row r="6">
      <x:c r="A6" t="str">
        <x:v>Trading Days</x:v>
      </x:c>
      <x:c r="B6" s="20" t="n">
        <x:v>252</x:v>
      </x:c>
    </x:row>
    <x:row r="7">
      <x:c r="A7" t="str">
        <x:v>Benchmark</x:v>
      </x:c>
      <x:c r="B7" s="20" t="str">
        <x:v>SPY</x:v>
      </x:c>
    </x:row>
    <x:row r="8">
      <x:c r="A8" t="str">
        <x:v>Source Note</x:v>
      </x:c>
      <x:c r="B8" s="20" t="str">
        <x:v>Synthetic training dataset based on user app defaults; replace with yfinance data for live portfolio.</x:v>
      </x:c>
    </x:row>
    <x:row r="10">
      <x:c r="A10" t="str">
        <x:v>Ticker</x:v>
      </x:c>
      <x:c r="B10" t="str">
        <x:v>Asset Type</x:v>
      </x:c>
      <x:c r="C10" t="str">
        <x:v>Allocation %</x:v>
      </x:c>
      <x:c r="D10" t="str">
        <x:v>Dollar Allocation</x:v>
      </x:c>
      <x:c r="E10" t="str">
        <x:v>Investment Question</x:v>
      </x:c>
    </x:row>
    <x:row r="11">
      <x:c r="A11" t="str">
        <x:v>SPY</x:v>
      </x:c>
      <x:c r="B11" t="str">
        <x:v>Equity ETF</x:v>
      </x:c>
      <x:c r="C11" s="16" t="n">
        <x:v>30</x:v>
      </x:c>
      <x:c r="D11" s="14" t="n">
        <x:f>$B$3*C11/100</x:f>
        <x:v>60000</x:v>
      </x:c>
      <x:c r="E11" t="str">
        <x:v>Should this allocation increase, decrease, or stay the same based on risk-adjusted return?</x:v>
      </x:c>
    </x:row>
    <x:row r="12">
      <x:c r="A12" t="str">
        <x:v>QQQ</x:v>
      </x:c>
      <x:c r="B12" t="str">
        <x:v>Growth ETF</x:v>
      </x:c>
      <x:c r="C12" s="16" t="n">
        <x:v>15</x:v>
      </x:c>
      <x:c r="D12" s="14" t="n">
        <x:f>$B$3*C12/100</x:f>
        <x:v>30000</x:v>
      </x:c>
      <x:c r="E12" t="str">
        <x:v>Should this allocation increase, decrease, or stay the same based on risk-adjusted return?</x:v>
      </x:c>
    </x:row>
    <x:row r="13">
      <x:c r="A13" t="str">
        <x:v>AGG</x:v>
      </x:c>
      <x:c r="B13" t="str">
        <x:v>Bond ETF</x:v>
      </x:c>
      <x:c r="C13" s="16" t="n">
        <x:v>20</x:v>
      </x:c>
      <x:c r="D13" s="14" t="n">
        <x:f>$B$3*C13/100</x:f>
        <x:v>40000</x:v>
      </x:c>
      <x:c r="E13" t="str">
        <x:v>Should this allocation increase, decrease, or stay the same based on risk-adjusted return?</x:v>
      </x:c>
    </x:row>
    <x:row r="14">
      <x:c r="A14" t="str">
        <x:v>BIL</x:v>
      </x:c>
      <x:c r="B14" t="str">
        <x:v>T-Bill ETF</x:v>
      </x:c>
      <x:c r="C14" s="16" t="n">
        <x:v>15</x:v>
      </x:c>
      <x:c r="D14" s="14" t="n">
        <x:f>$B$3*C14/100</x:f>
        <x:v>30000</x:v>
      </x:c>
      <x:c r="E14" t="str">
        <x:v>Should this allocation increase, decrease, or stay the same based on risk-adjusted return?</x:v>
      </x:c>
    </x:row>
    <x:row r="15">
      <x:c r="A15" t="str">
        <x:v>VNQ</x:v>
      </x:c>
      <x:c r="B15" t="str">
        <x:v>REIT ETF</x:v>
      </x:c>
      <x:c r="C15" s="16" t="n">
        <x:v>10</x:v>
      </x:c>
      <x:c r="D15" s="14" t="n">
        <x:f>$B$3*C15/100</x:f>
        <x:v>20000</x:v>
      </x:c>
      <x:c r="E15" t="str">
        <x:v>Should this allocation increase, decrease, or stay the same based on risk-adjusted return?</x:v>
      </x:c>
    </x:row>
    <x:row r="16">
      <x:c r="A16" t="str">
        <x:v>VIG</x:v>
      </x:c>
      <x:c r="B16" t="str">
        <x:v>Dividend ETF</x:v>
      </x:c>
      <x:c r="C16" s="16" t="n">
        <x:v>10</x:v>
      </x:c>
      <x:c r="D16" s="14" t="n">
        <x:f>$B$3*C16/100</x:f>
        <x:v>20000</x:v>
      </x:c>
      <x:c r="E16" t="str">
        <x:v>Should this allocation increase, decrease, or stay the same based on risk-adjusted return?</x:v>
      </x:c>
    </x:row>
  </x:sheetData>
  <x:pageMargins left="0.7" right="0.7" top="0.75" bottom="0.75" header="0.3" footer="0.3"/>
  <x:tableParts count="1">
    <x:tablePart xmlns:r="http://schemas.openxmlformats.org/officeDocument/2006/relationships" r:id="Rc69834f49f5e49e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6.590000152587891" hidden="0" customWidth="1"/>
    <x:col min="2" max="2" width="11.039999961853027" hidden="0" customWidth="1"/>
    <x:col min="3" max="3" width="11.039999961853027" hidden="0" customWidth="1"/>
    <x:col min="4" max="4" width="11.039999961853027" hidden="0" customWidth="1"/>
    <x:col min="5" max="5" width="10.359999656677246" hidden="0" customWidth="1"/>
    <x:col min="6" max="6" width="11.039999961853027" hidden="0" customWidth="1"/>
    <x:col min="7" max="7" width="11.039999961853027" hidden="0" customWidth="1"/>
    <x:col min="8" max="8" width="13.59000015258789" hidden="0" customWidth="1"/>
    <x:col min="9" max="9" width="16.420000076293945" hidden="0" customWidth="1"/>
    <x:col min="10" max="10" width="18.299999237060547" hidden="0" customWidth="1"/>
  </x:cols>
  <x:sheetData>
    <x:row r="1">
      <x:c r="A1" s="8" t="str">
        <x:v>Month</x:v>
      </x:c>
      <x:c r="B1" s="8" t="str">
        <x:v>SPY</x:v>
      </x:c>
      <x:c r="C1" s="8" t="str">
        <x:v>QQQ</x:v>
      </x:c>
      <x:c r="D1" s="8" t="str">
        <x:v>AGG</x:v>
      </x:c>
      <x:c r="E1" s="8" t="str">
        <x:v>BIL</x:v>
      </x:c>
      <x:c r="F1" s="8" t="str">
        <x:v>VNQ</x:v>
      </x:c>
      <x:c r="G1" s="8" t="str">
        <x:v>VIG</x:v>
      </x:c>
      <x:c r="H1" s="8" t="str">
        <x:v>Portfolio_Return</x:v>
      </x:c>
      <x:c r="I1" s="8" t="str">
        <x:v>Market_Return_SPY</x:v>
      </x:c>
      <x:c r="J1" s="8" t="str">
        <x:v>Excess_Return_vs_SPY</x:v>
      </x:c>
      <x:c r="K1" s="8"/>
    </x:row>
    <x:row r="2">
      <x:c r="A2" t="str">
        <x:v>2024-01</x:v>
      </x:c>
      <x:c r="B2" s="24" t="n">
        <x:v>0.06903227314369939</x:v>
      </x:c>
      <x:c r="C2" s="24" t="n">
        <x:v>-0.005408073687070969</x:v>
      </x:c>
      <x:c r="D2" s="24" t="n">
        <x:v>0.020506503446928347</x:v>
      </x:c>
      <x:c r="E2" s="24" t="n">
        <x:v>0.005911428197764142</x:v>
      </x:c>
      <x:c r="F2" s="24" t="n">
        <x:v>-0.01129286102741657</x:v>
      </x:c>
      <x:c r="G2" s="24" t="n">
        <x:v>0.006903004342895043</x:v>
      </x:c>
      <x:c r="H2" s="24" t="n">
        <x:v>0.024447500140647307</x:v>
      </x:c>
      <x:c r="I2" s="24" t="n">
        <x:v>0.06903227314369939</x:v>
      </x:c>
      <x:c r="J2" s="24" t="n">
        <x:v>-0.04458477300305208</x:v>
      </x:c>
    </x:row>
    <x:row r="3">
      <x:c r="A3" t="str">
        <x:v>2024-02</x:v>
      </x:c>
      <x:c r="B3" s="24" t="n">
        <x:v>0.0029740682810695945</x:v>
      </x:c>
      <x:c r="C3" s="24" t="n">
        <x:v>-0.047173719130601866</x:v>
      </x:c>
      <x:c r="D3" s="24" t="n">
        <x:v>0.0055262633841967135</x:v>
      </x:c>
      <x:c r="E3" s="24" t="n">
        <x:v>0.0017275505986714835</x:v>
      </x:c>
      <x:c r="F3" s="24" t="n">
        <x:v>0.008743234389705382</x:v>
      </x:c>
      <x:c r="G3" s="24" t="n">
        <x:v>-0.016291838369287194</x:v>
      </x:c>
      <x:c r="H3" s="24" t="n">
        <x:v>-0.005574312516587517</x:v>
      </x:c>
      <x:c r="I3" s="24" t="n">
        <x:v>0.0029740682810695945</x:v>
      </x:c>
      <x:c r="J3" s="24" t="n">
        <x:v>-0.008548380797657112</x:v>
      </x:c>
    </x:row>
    <x:row r="4">
      <x:c r="A4" t="str">
        <x:v>2024-03</x:v>
      </x:c>
      <x:c r="B4" s="24" t="n">
        <x:v>0.017270926765762633</x:v>
      </x:c>
      <x:c r="C4" s="24" t="n">
        <x:v>0.020468619316167246</x:v>
      </x:c>
      <x:c r="D4" s="24" t="n">
        <x:v>0.01528592702692428</x:v>
      </x:c>
      <x:c r="E4" s="24" t="n">
        <x:v>0.0052013476911291785</x:v>
      </x:c>
      <x:c r="F4" s="24" t="n">
        <x:v>0.0034258201124265667</x:v>
      </x:c>
      <x:c r="G4" s="24" t="n">
        <x:v>0.010050709323817117</x:v>
      </x:c>
      <x:c r="H4" s="24" t="n">
        <x:v>0.013436611429832478</x:v>
      </x:c>
      <x:c r="I4" s="24" t="n">
        <x:v>0.017270926765762633</x:v>
      </x:c>
      <x:c r="J4" s="24" t="n">
        <x:v>-0.003834315335930155</x:v>
      </x:c>
    </x:row>
    <x:row r="5">
      <x:c r="A5" t="str">
        <x:v>2024-04</x:v>
      </x:c>
      <x:c r="B5" s="24" t="n">
        <x:v>-0.07584960220295767</x:v>
      </x:c>
      <x:c r="C5" s="24" t="n">
        <x:v>-0.04200859692069239</x:v>
      </x:c>
      <x:c r="D5" s="24" t="n">
        <x:v>-0.0017065861585067975</x:v>
      </x:c>
      <x:c r="E5" s="24" t="n">
        <x:v>0.003117763184952718</x:v>
      </x:c>
      <x:c r="F5" s="24" t="n">
        <x:v>0.016983390081141893</x:v>
      </x:c>
      <x:c r="G5" s="24" t="n">
        <x:v>-0.03606337345749443</x:v>
      </x:c>
      <x:c r="H5" s="24" t="n">
        <x:v>-0.030837821290584863</x:v>
      </x:c>
      <x:c r="I5" s="24" t="n">
        <x:v>-0.07584960220295767</x:v>
      </x:c>
      <x:c r="J5" s="24" t="n">
        <x:v>0.045011780912372804</x:v>
      </x:c>
    </x:row>
    <x:row r="6">
      <x:c r="A6" t="str">
        <x:v>2024-05</x:v>
      </x:c>
      <x:c r="B6" s="24" t="n">
        <x:v>0.0024627390836478493</x:v>
      </x:c>
      <x:c r="C6" s="24" t="n">
        <x:v>0.0551834686080715</x:v>
      </x:c>
      <x:c r="D6" s="24" t="n">
        <x:v>0.009758275890208563</x:v>
      </x:c>
      <x:c r="E6" s="24" t="n">
        <x:v>0.005073561627220392</x:v>
      </x:c>
      <x:c r="F6" s="24" t="n">
        <x:v>-0.033521431779613704</x:v>
      </x:c>
      <x:c r="G6" s="24" t="n">
        <x:v>-0.0058641340841691465</x:v>
      </x:c>
      <x:c r="H6" s="24" t="n">
        <x:v>0.007790474852051567</x:v>
      </x:c>
      <x:c r="I6" s="24" t="n">
        <x:v>0.0024627390836478493</x:v>
      </x:c>
      <x:c r="J6" s="24" t="n">
        <x:v>0.0053277357684037175</x:v>
      </x:c>
    </x:row>
    <x:row r="7">
      <x:c r="A7" t="str">
        <x:v>2024-06</x:v>
      </x:c>
      <x:c r="B7" s="24" t="n">
        <x:v>-0.016678496246223484</x:v>
      </x:c>
      <x:c r="C7" s="24" t="n">
        <x:v>0.0227836295318386</x:v>
      </x:c>
      <x:c r="D7" s="24" t="n">
        <x:v>-0.006537770375937944</x:v>
      </x:c>
      <x:c r="E7" s="24" t="n">
        <x:v>0.0037161792583006595</x:v>
      </x:c>
      <x:c r="F7" s="24" t="n">
        <x:v>0.0008473770098865536</x:v>
      </x:c>
      <x:c r="G7" s="24" t="n">
        <x:v>0.012850664778392746</x:v>
      </x:c>
      <x:c r="H7" s="24" t="n">
        <x:v>-0.0009663274517058148</x:v>
      </x:c>
      <x:c r="I7" s="24" t="n">
        <x:v>-0.016678496246223484</x:v>
      </x:c>
      <x:c r="J7" s="24" t="n">
        <x:v>0.01571216879451767</x:v>
      </x:c>
    </x:row>
    <x:row r="8">
      <x:c r="A8" t="str">
        <x:v>2024-07</x:v>
      </x:c>
      <x:c r="B8" s="24" t="n">
        <x:v>-0.011246097162058436</x:v>
      </x:c>
      <x:c r="C8" s="24" t="n">
        <x:v>0.010416181862883591</x:v>
      </x:c>
      <x:c r="D8" s="24" t="n">
        <x:v>-0.008213170362636583</x:v>
      </x:c>
      <x:c r="E8" s="24" t="n">
        <x:v>0.0010418945701064588</x:v>
      </x:c>
      <x:c r="F8" s="24" t="n">
        <x:v>-0.01940904149966435</x:v>
      </x:c>
      <x:c r="G8" s="24" t="n">
        <x:v>0.019444084913799994</x:v>
      </x:c>
      <x:c r="H8" s="24" t="n">
        <x:v>-0.0032942474147827755</x:v>
      </x:c>
      <x:c r="I8" s="24" t="n">
        <x:v>-0.011246097162058436</x:v>
      </x:c>
      <x:c r="J8" s="24" t="n">
        <x:v>0.00795184974727566</x:v>
      </x:c>
    </x:row>
    <x:row r="9">
      <x:c r="A9" t="str">
        <x:v>2024-08</x:v>
      </x:c>
      <x:c r="B9" s="24" t="n">
        <x:v>0.001423510189362185</x:v>
      </x:c>
      <x:c r="C9" s="24" t="n">
        <x:v>0.025267134297300105</x:v>
      </x:c>
      <x:c r="D9" s="24" t="n">
        <x:v>-0.016445134708454035</x:v>
      </x:c>
      <x:c r="E9" s="24" t="n">
        <x:v>0.0029481152938334717</x:v>
      </x:c>
      <x:c r="F9" s="24" t="n">
        <x:v>0.008727577285139716</x:v>
      </x:c>
      <x:c r="G9" s="24" t="n">
        <x:v>-0.004265411728405503</x:v>
      </x:c>
      <x:c r="H9" s="24" t="n">
        <x:v>0.001816530109461306</x:v>
      </x:c>
      <x:c r="I9" s="24" t="n">
        <x:v>0.001423510189362185</x:v>
      </x:c>
      <x:c r="J9" s="24" t="n">
        <x:v>0.0003930199200991209</x:v>
      </x:c>
    </x:row>
    <x:row r="10">
      <x:c r="A10" t="str">
        <x:v>2024-09</x:v>
      </x:c>
      <x:c r="B10" s="24" t="n">
        <x:v>0.012758027288120269</x:v>
      </x:c>
      <x:c r="C10" s="24" t="n">
        <x:v>0.07334294111533243</x:v>
      </x:c>
      <x:c r="D10" s="24" t="n">
        <x:v>0.013424102860656466</x:v>
      </x:c>
      <x:c r="E10" s="24" t="n">
        <x:v>0.005199118389110998</x:v>
      </x:c>
      <x:c r="F10" s="24" t="n">
        <x:v>0.0748190519507643</x:v>
      </x:c>
      <x:c r="G10" s="24" t="n">
        <x:v>0.0011924227055455008</x:v>
      </x:c>
      <x:c r="H10" s="24" t="n">
        <x:v>0.025894685149864868</x:v>
      </x:c>
      <x:c r="I10" s="24" t="n">
        <x:v>0.012758027288120269</x:v>
      </x:c>
      <x:c r="J10" s="24" t="n">
        <x:v>0.013136657861744599</x:v>
      </x:c>
    </x:row>
    <x:row r="11">
      <x:c r="A11" t="str">
        <x:v>2024-10</x:v>
      </x:c>
      <x:c r="B11" s="24" t="n">
        <x:v>-0.029329423762421435</x:v>
      </x:c>
      <x:c r="C11" s="24" t="n">
        <x:v>-0.05690042967070312</x:v>
      </x:c>
      <x:c r="D11" s="24" t="n">
        <x:v>-0.023943684375134215</x:v>
      </x:c>
      <x:c r="E11" s="24" t="n">
        <x:v>0.0032983284306841477</x:v>
      </x:c>
      <x:c r="F11" s="24" t="n">
        <x:v>-0.0017943815656985516</x:v>
      </x:c>
      <x:c r="G11" s="24" t="n">
        <x:v>-0.034394172876841905</x:v>
      </x:c>
      <x:c r="H11" s="24" t="n">
        <x:v>-0.02524673463401017</x:v>
      </x:c>
      <x:c r="I11" s="24" t="n">
        <x:v>-0.029329423762421435</x:v>
      </x:c>
      <x:c r="J11" s="24" t="n">
        <x:v>0.004082689128411265</x:v>
      </x:c>
    </x:row>
    <x:row r="12">
      <x:c r="A12" t="str">
        <x:v>2024-11</x:v>
      </x:c>
      <x:c r="B12" s="24" t="n">
        <x:v>-0.011279666663337195</x:v>
      </x:c>
      <x:c r="C12" s="24" t="n">
        <x:v>-0.022462645047516216</x:v>
      </x:c>
      <x:c r="D12" s="24" t="n">
        <x:v>0.0075763133242394</x:v>
      </x:c>
      <x:c r="E12" s="24" t="n">
        <x:v>0.003257875546438791</x:v>
      </x:c>
      <x:c r="F12" s="24" t="n">
        <x:v>-0.028120624030339696</x:v>
      </x:c>
      <x:c r="G12" s="24" t="n">
        <x:v>-0.03806020384295303</x:v>
      </x:c>
      <x:c r="H12" s="24" t="n">
        <x:v>-0.011367435546644166</x:v>
      </x:c>
      <x:c r="I12" s="24" t="n">
        <x:v>-0.011279666663337195</x:v>
      </x:c>
      <x:c r="J12" s="24" t="n">
        <x:v>-0.00008776888330697119</x:v>
      </x:c>
    </x:row>
    <x:row r="13">
      <x:c r="A13" t="str">
        <x:v>2024-12</x:v>
      </x:c>
      <x:c r="B13" s="24" t="n">
        <x:v>-0.001958264766328705</x:v>
      </x:c>
      <x:c r="C13" s="24" t="n">
        <x:v>0.01187417942951604</x:v>
      </x:c>
      <x:c r="D13" s="24" t="n">
        <x:v>0.02098029567617399</x:v>
      </x:c>
      <x:c r="E13" s="24" t="n">
        <x:v>0.006221417979058358</x:v>
      </x:c>
      <x:c r="F13" s="24" t="n">
        <x:v>0.002475240483791415</x:v>
      </x:c>
      <x:c r="G13" s="24" t="n">
        <x:v>0.017096519159988253</x:v>
      </x:c>
      <x:c r="H13" s="24" t="n">
        <x:v>0.008280095281000313</x:v>
      </x:c>
      <x:c r="I13" s="24" t="n">
        <x:v>-0.001958264766328705</x:v>
      </x:c>
      <x:c r="J13" s="24" t="n">
        <x:v>0.010238360047329018</x:v>
      </x:c>
    </x:row>
    <x:row r="14">
      <x:c r="A14" t="str">
        <x:v>2025-01</x:v>
      </x:c>
      <x:c r="B14" s="24" t="n">
        <x:v>0.033361559704685156</x:v>
      </x:c>
      <x:c r="C14" s="24" t="n">
        <x:v>-0.03346241376099697</x:v>
      </x:c>
      <x:c r="D14" s="24" t="n">
        <x:v>-0.004620973919505026</x:v>
      </x:c>
      <x:c r="E14" s="24" t="n">
        <x:v>0.007408415296453888</x:v>
      </x:c>
      <x:c r="F14" s="24" t="n">
        <x:v>0.048575054774174856</x:v>
      </x:c>
      <x:c r="G14" s="24" t="n">
        <x:v>0.03151891770328402</x:v>
      </x:c>
      <x:c r="H14" s="24" t="n">
        <x:v>0.013185570605568967</x:v>
      </x:c>
      <x:c r="I14" s="24" t="n">
        <x:v>0.033361559704685156</x:v>
      </x:c>
      <x:c r="J14" s="24" t="n">
        <x:v>-0.02017598909911619</x:v>
      </x:c>
    </x:row>
    <x:row r="15">
      <x:c r="A15" t="str">
        <x:v>2025-02</x:v>
      </x:c>
      <x:c r="B15" s="24" t="n">
        <x:v>0.06239280928355264</x:v>
      </x:c>
      <x:c r="C15" s="24" t="n">
        <x:v>0.08183886643070071</x:v>
      </x:c>
      <x:c r="D15" s="24" t="n">
        <x:v>-0.0011616745503154951</x:v>
      </x:c>
      <x:c r="E15" s="24" t="n">
        <x:v>0.003984583531598097</x:v>
      </x:c>
      <x:c r="F15" s="24" t="n">
        <x:v>-0.016853893166085827</x:v>
      </x:c>
      <x:c r="G15" s="24" t="n">
        <x:v>0.024979038631384898</x:v>
      </x:c>
      <x:c r="H15" s="24" t="n">
        <x:v>0.03217153991587742</x:v>
      </x:c>
      <x:c r="I15" s="24" t="n">
        <x:v>0.06239280928355264</x:v>
      </x:c>
      <x:c r="J15" s="24" t="n">
        <x:v>-0.03022126936767522</x:v>
      </x:c>
    </x:row>
    <x:row r="16">
      <x:c r="A16" t="str">
        <x:v>2025-03</x:v>
      </x:c>
      <x:c r="B16" s="24" t="n">
        <x:v>-0.06912954210760718</x:v>
      </x:c>
      <x:c r="C16" s="24" t="n">
        <x:v>-0.06217643305311116</x:v>
      </x:c>
      <x:c r="D16" s="24" t="n">
        <x:v>-0.01025068668731802</x:v>
      </x:c>
      <x:c r="E16" s="24" t="n">
        <x:v>0.006027027142948688</x:v>
      </x:c>
      <x:c r="F16" s="24" t="n">
        <x:v>-0.02971447837918543</x:v>
      </x:c>
      <x:c r="G16" s="24" t="n">
        <x:v>-0.04617616836502289</x:v>
      </x:c>
      <x:c r="H16" s="24" t="n">
        <x:v>-0.03880047553069096</x:v>
      </x:c>
      <x:c r="I16" s="24" t="n">
        <x:v>-0.06912954210760718</x:v>
      </x:c>
      <x:c r="J16" s="24" t="n">
        <x:v>0.030329066576916218</x:v>
      </x:c>
    </x:row>
    <x:row r="17">
      <x:c r="A17" t="str">
        <x:v>2025-04</x:v>
      </x:c>
      <x:c r="B17" s="24" t="n">
        <x:v>0.01810003062014095</x:v>
      </x:c>
      <x:c r="C17" s="24" t="n">
        <x:v>-0.026709895575929885</x:v>
      </x:c>
      <x:c r="D17" s="24" t="n">
        <x:v>0.005598300866921766</x:v>
      </x:c>
      <x:c r="E17" s="24" t="n">
        <x:v>0.00022412645731776813</x:v>
      </x:c>
      <x:c r="F17" s="24" t="n">
        <x:v>0.03856655119522467</x:v>
      </x:c>
      <x:c r="G17" s="24" t="n">
        <x:v>-0.039679831263701615</x:v>
      </x:c>
      <x:c r="H17" s="24" t="n">
        <x:v>0.002465475984787127</x:v>
      </x:c>
      <x:c r="I17" s="24" t="n">
        <x:v>0.01810003062014095</x:v>
      </x:c>
      <x:c r="J17" s="24" t="n">
        <x:v>-0.01563455463535382</x:v>
      </x:c>
    </x:row>
    <x:row r="18">
      <x:c r="A18" t="str">
        <x:v>2025-05</x:v>
      </x:c>
      <x:c r="B18" s="24" t="n">
        <x:v>0.01899769736316306</x:v>
      </x:c>
      <x:c r="C18" s="24" t="n">
        <x:v>0.1221302282618032</x:v>
      </x:c>
      <x:c r="D18" s="24" t="n">
        <x:v>-0.0020996009090796623</x:v>
      </x:c>
      <x:c r="E18" s="24" t="n">
        <x:v>0.0010504294354954724</x:v>
      </x:c>
      <x:c r="F18" s="24" t="n">
        <x:v>0.052765377757217985</x:v>
      </x:c>
      <x:c r="G18" s="24" t="n">
        <x:v>0.018293611258235292</x:v>
      </x:c>
      <x:c r="H18" s="24" t="n">
        <x:v>0.030862386583273116</x:v>
      </x:c>
      <x:c r="I18" s="24" t="n">
        <x:v>0.01899769736316306</x:v>
      </x:c>
      <x:c r="J18" s="24" t="n">
        <x:v>0.011864689220110056</x:v>
      </x:c>
    </x:row>
    <x:row r="19">
      <x:c r="A19" t="str">
        <x:v>2025-06</x:v>
      </x:c>
      <x:c r="B19" s="24" t="n">
        <x:v>0.010582331247102846</x:v>
      </x:c>
      <x:c r="C19" s="24" t="n">
        <x:v>0.024519436390427744</x:v>
      </x:c>
      <x:c r="D19" s="24" t="n">
        <x:v>0.011282132569064511</x:v>
      </x:c>
      <x:c r="E19" s="24" t="n">
        <x:v>0.005838357438604307</x:v>
      </x:c>
      <x:c r="F19" s="24" t="n">
        <x:v>0.03809221740643719</x:v>
      </x:c>
      <x:c r="G19" s="24" t="n">
        <x:v>0.025259322174717054</x:v>
      </x:c>
      <x:c r="H19" s="24" t="n">
        <x:v>0.016319948920413985</x:v>
      </x:c>
      <x:c r="I19" s="24" t="n">
        <x:v>0.010582331247102846</x:v>
      </x:c>
      <x:c r="J19" s="24" t="n">
        <x:v>0.00573761767331114</x:v>
      </x:c>
    </x:row>
    <x:row r="20">
      <x:c r="A20" t="str">
        <x:v>2025-07</x:v>
      </x:c>
      <x:c r="B20" s="24" t="n">
        <x:v>0.002069378350413784</x:v>
      </x:c>
      <x:c r="C20" s="24" t="n">
        <x:v>-0.012268550900420762</x:v>
      </x:c>
      <x:c r="D20" s="24" t="n">
        <x:v>-0.0029722504152479945</x:v>
      </x:c>
      <x:c r="E20" s="24" t="n">
        <x:v>0.0033567815288842776</x:v>
      </x:c>
      <x:c r="F20" s="24" t="n">
        <x:v>-0.0107725503290717</x:v>
      </x:c>
      <x:c r="G20" s="24" t="n">
        <x:v>0.008763047639120941</x:v>
      </x:c>
      <x:c r="H20" s="24" t="n">
        <x:v>-0.0015113522526510122</x:v>
      </x:c>
      <x:c r="I20" s="24" t="n">
        <x:v>0.002069378350413784</x:v>
      </x:c>
      <x:c r="J20" s="24" t="n">
        <x:v>-0.0035807306030647963</x:v>
      </x:c>
    </x:row>
    <x:row r="21">
      <x:c r="A21" t="str">
        <x:v>2025-08</x:v>
      </x:c>
      <x:c r="B21" s="24" t="n">
        <x:v>-0.00622803531492126</x:v>
      </x:c>
      <x:c r="C21" s="24" t="n">
        <x:v>0.054073314554790655</x:v>
      </x:c>
      <x:c r="D21" s="24" t="n">
        <x:v>-0.003907891372735565</x:v>
      </x:c>
      <x:c r="E21" s="24" t="n">
        <x:v>0.004299451768501762</x:v>
      </x:c>
      <x:c r="F21" s="24" t="n">
        <x:v>-0.01282768652087448</x:v>
      </x:c>
      <x:c r="G21" s="24" t="n">
        <x:v>-0.023203515494048126</x:v>
      </x:c>
      <x:c r="H21" s="24" t="n">
        <x:v>0.0025028058779781115</x:v>
      </x:c>
      <x:c r="I21" s="24" t="n">
        <x:v>-0.00622803531492126</x:v>
      </x:c>
      <x:c r="J21" s="24" t="n">
        <x:v>0.008730841192899371</x:v>
      </x:c>
    </x:row>
    <x:row r="22">
      <x:c r="A22" t="str">
        <x:v>2025-09</x:v>
      </x:c>
      <x:c r="B22" s="24" t="n">
        <x:v>0.06573719686946691</x:v>
      </x:c>
      <x:c r="C22" s="24" t="n">
        <x:v>-0.0005014403849142104</x:v>
      </x:c>
      <x:c r="D22" s="24" t="n">
        <x:v>0.024355507057340867</x:v>
      </x:c>
      <x:c r="E22" s="24" t="n">
        <x:v>0.005077501757451179</x:v>
      </x:c>
      <x:c r="F22" s="24" t="n">
        <x:v>-0.025583895530440437</x:v>
      </x:c>
      <x:c r="G22" s="24" t="n">
        <x:v>0.04249072341366654</x:v>
      </x:c>
      <x:c r="H22" s="24" t="n">
        <x:v>0.026969352466511404</x:v>
      </x:c>
      <x:c r="I22" s="24" t="n">
        <x:v>0.06573719686946691</x:v>
      </x:c>
      <x:c r="J22" s="24" t="n">
        <x:v>-0.03876784440295551</x:v>
      </x:c>
    </x:row>
    <x:row r="23">
      <x:c r="A23" t="str">
        <x:v>2025-10</x:v>
      </x:c>
      <x:c r="B23" s="24" t="n">
        <x:v>-0.030615846994702964</x:v>
      </x:c>
      <x:c r="C23" s="24" t="n">
        <x:v>-0.016780469068071183</x:v>
      </x:c>
      <x:c r="D23" s="24" t="n">
        <x:v>-0.00964431574909438</x:v>
      </x:c>
      <x:c r="E23" s="24" t="n">
        <x:v>0.003479343578578754</x:v>
      </x:c>
      <x:c r="F23" s="24" t="n">
        <x:v>0.03407133773548271</x:v>
      </x:c>
      <x:c r="G23" s="24" t="n">
        <x:v>0.044611201476051965</x:v>
      </x:c>
      <x:c r="H23" s="24" t="n">
        <x:v>-0.005240532150500162</x:v>
      </x:c>
      <x:c r="I23" s="24" t="n">
        <x:v>-0.030615846994702964</x:v>
      </x:c>
      <x:c r="J23" s="24" t="n">
        <x:v>0.0253753148442028</x:v>
      </x:c>
    </x:row>
    <x:row r="24">
      <x:c r="A24" t="str">
        <x:v>2025-11</x:v>
      </x:c>
      <x:c r="B24" s="24" t="n">
        <x:v>0.03194766703617433</x:v>
      </x:c>
      <x:c r="C24" s="24" t="n">
        <x:v>0.05406628091726021</x:v>
      </x:c>
      <x:c r="D24" s="24" t="n">
        <x:v>0.008360305432010186</x:v>
      </x:c>
      <x:c r="E24" s="24" t="n">
        <x:v>0.005144811689440132</x:v>
      </x:c>
      <x:c r="F24" s="24" t="n">
        <x:v>0.034174118574217344</x:v>
      </x:c>
      <x:c r="G24" s="24" t="n">
        <x:v>0.057467001986428866</x:v>
      </x:c>
      <x:c r="H24" s="24" t="n">
        <x:v>0.02930213714432401</x:v>
      </x:c>
      <x:c r="I24" s="24" t="n">
        <x:v>0.03194766703617433</x:v>
      </x:c>
      <x:c r="J24" s="24" t="n">
        <x:v>-0.0026455298918503234</x:v>
      </x:c>
    </x:row>
    <x:row r="25">
      <x:c r="A25" t="str">
        <x:v>2025-12</x:v>
      </x:c>
      <x:c r="B25" s="24" t="n">
        <x:v>0.049224297758451975</x:v>
      </x:c>
      <x:c r="C25" s="24" t="n">
        <x:v>0.07677507298521707</x:v>
      </x:c>
      <x:c r="D25" s="24" t="n">
        <x:v>0.015653074953169043</x:v>
      </x:c>
      <x:c r="E25" s="24" t="n">
        <x:v>0.00475053641321014</x:v>
      </x:c>
      <x:c r="F25" s="24" t="n">
        <x:v>0.04408678557556559</x:v>
      </x:c>
      <x:c r="G25" s="24" t="n">
        <x:v>0.07413879284765651</x:v>
      </x:c>
      <x:c r="H25" s="24" t="n">
        <x:v>0.04194930357025569</x:v>
      </x:c>
      <x:c r="I25" s="24" t="n">
        <x:v>0.049224297758451975</x:v>
      </x:c>
      <x:c r="J25" s="24" t="n">
        <x:v>-0.007274994188196285</x:v>
      </x:c>
    </x:row>
  </x:sheetData>
  <x:pageMargins left="0.7" right="0.7" top="0.75" bottom="0.75" header="0.3" footer="0.3"/>
  <x:tableParts count="1">
    <x:tablePart xmlns:r="http://schemas.openxmlformats.org/officeDocument/2006/relationships" r:id="R5d7c7a0e60b44bb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.849999904632568" hidden="0" customWidth="1"/>
    <x:col min="2" max="2" width="10.359999656677246" hidden="0" customWidth="1"/>
    <x:col min="3" max="3" width="10.09000015258789" hidden="0" customWidth="1"/>
    <x:col min="4" max="4" width="11.710000038146973" hidden="0" customWidth="1"/>
    <x:col min="5" max="5" width="13.460000038146973" hidden="0" customWidth="1"/>
    <x:col min="6" max="6" width="11.039999961853027" hidden="0" customWidth="1"/>
    <x:col min="7" max="7" width="12.920000076293945" hidden="0" customWidth="1"/>
    <x:col min="9" max="9" width="20.31999969482422" hidden="0" customWidth="1"/>
    <x:col min="10" max="10" width="11.039999961853027" hidden="0" customWidth="1"/>
  </x:cols>
  <x:sheetData>
    <x:row r="1">
      <x:c r="A1" s="8" t="str">
        <x:v>Ticker</x:v>
      </x:c>
      <x:c r="B1" s="8" t="str">
        <x:v>Asset Type</x:v>
      </x:c>
      <x:c r="C1" s="8" t="str">
        <x:v>Allocation %</x:v>
      </x:c>
      <x:c r="D1" s="8" t="str">
        <x:v>Annual Return</x:v>
      </x:c>
      <x:c r="E1" s="8" t="str">
        <x:v>Annual Volatility</x:v>
      </x:c>
      <x:c r="F1" s="8" t="str">
        <x:v>Sharpe Ratio</x:v>
      </x:c>
      <x:c r="G1" s="8" t="str">
        <x:v>Max Drawdown</x:v>
      </x:c>
      <x:c r="H1" s="8"/>
      <x:c r="I1" s="8" t="str">
        <x:v>Portfolio Summary</x:v>
      </x:c>
      <x:c r="J1" s="8"/>
      <x:c r="K1" s="8"/>
    </x:row>
    <x:row r="2">
      <x:c r="A2" t="str">
        <x:v>SPY</x:v>
      </x:c>
      <x:c r="B2" t="str">
        <x:v>Equity ETF</x:v>
      </x:c>
      <x:c r="C2" s="16" t="n">
        <x:v>30</x:v>
      </x:c>
      <x:c r="D2" s="24" t="n">
        <x:v>0.06726915508532016</x:v>
      </x:c>
      <x:c r="E2" s="24" t="n">
        <x:v>0.12683749205590136</x:v>
      </x:c>
      <x:c r="F2" s="26" t="n">
        <x:v>0.21499285931404075</x:v>
      </x:c>
      <x:c r="G2" s="24" t="n">
        <x:v>-0.12499174171669614</x:v>
      </x:c>
      <x:c r="I2" t="str">
        <x:v>Portfolio Annual Return</x:v>
      </x:c>
      <x:c r="J2" s="24" t="n">
        <x:f>PRODUCT(1+Monthly_Returns!H2:H25)^(12/24)-1</x:f>
        <x:v>0.07748560630912005</x:v>
      </x:c>
    </x:row>
    <x:row r="3">
      <x:c r="A3" t="str">
        <x:v>QQQ</x:v>
      </x:c>
      <x:c r="B3" t="str">
        <x:v>Growth ETF</x:v>
      </x:c>
      <x:c r="C3" s="16" t="n">
        <x:v>15</x:v>
      </x:c>
      <x:c r="D3" s="24" t="n">
        <x:v>0.14956683343150257</x:v>
      </x:c>
      <x:c r="E3" s="24" t="n">
        <x:v>0.1681230970302296</x:v>
      </x:c>
      <x:c r="F3" s="26" t="n">
        <x:v>0.6517060140273394</x:v>
      </x:c>
      <x:c r="G3" s="24" t="n">
        <x:v>-0.10964705329023583</x:v>
      </x:c>
      <x:c r="I3" t="str">
        <x:v>Portfolio Annual Volatility</x:v>
      </x:c>
      <x:c r="J3" s="24" t="n">
        <x:f>STDEV.S(Monthly_Returns!H2:H25)*SQRT(12)</x:f>
        <x:v>0.07102020928316437</x:v>
      </x:c>
    </x:row>
    <x:row r="4">
      <x:c r="A4" t="str">
        <x:v>AGG</x:v>
      </x:c>
      <x:c r="B4" t="str">
        <x:v>Bond ETF</x:v>
      </x:c>
      <x:c r="C4" s="16" t="n">
        <x:v>20</x:v>
      </x:c>
      <x:c r="D4" s="24" t="n">
        <x:v>0.033005925000478165</x:v>
      </x:c>
      <x:c r="E4" s="24" t="n">
        <x:v>0.04300454892563622</x:v>
      </x:c>
      <x:c r="F4" s="26" t="n">
        <x:v>-0.16263570190251367</x:v>
      </x:c>
      <x:c r="G4" s="24" t="n">
        <x:v>-0.041406691037914056</x:v>
      </x:c>
      <x:c r="I4" t="str">
        <x:v>Portfolio Sharpe Ratio</x:v>
      </x:c>
      <x:c r="J4" s="26" t="n">
        <x:f>(J2-J5)/J3</x:f>
        <x:v>0.5278160496494927</x:v>
      </x:c>
    </x:row>
    <x:row r="5">
      <x:c r="A5" t="str">
        <x:v>BIL</x:v>
      </x:c>
      <x:c r="B5" t="str">
        <x:v>T-Bill ETF</x:v>
      </x:c>
      <x:c r="C5" s="16" t="n">
        <x:v>15</x:v>
      </x:c>
      <x:c r="D5" s="24" t="n">
        <x:v>0.049759212531681696</x:v>
      </x:c>
      <x:c r="E5" s="24" t="n">
        <x:v>0.006269623532408269</x:v>
      </x:c>
      <x:c r="F5" s="26" t="n">
        <x:v>1.556586688376968</x:v>
      </x:c>
      <x:c r="G5" s="24" t="n">
        <x:v>0</x:v>
      </x:c>
      <x:c r="I5" t="str">
        <x:v>Risk-Free Rate</x:v>
      </x:c>
      <x:c r="J5" s="16" t="n">
        <x:f>Portfolio_Inputs!B4</x:f>
        <x:v>0.04</x:v>
      </x:c>
    </x:row>
    <x:row r="6">
      <x:c r="A6" t="str">
        <x:v>VNQ</x:v>
      </x:c>
      <x:c r="B6" t="str">
        <x:v>REIT ETF</x:v>
      </x:c>
      <x:c r="C6" s="16" t="n">
        <x:v>10</x:v>
      </x:c>
      <x:c r="D6" s="24" t="n">
        <x:v>0.10808228781242146</x:v>
      </x:c>
      <x:c r="E6" s="24" t="n">
        <x:v>0.10463285415318914</x:v>
      </x:c>
      <x:c r="F6" s="26" t="n">
        <x:v>0.650677919124185</x:v>
      </x:c>
      <x:c r="G6" s="24" t="n">
        <x:v>-0.051476778155567615</x:v>
      </x:c>
      <x:c r="I6" t="str">
        <x:v>Expected 10-Year Value</x:v>
      </x:c>
      <x:c r="J6" s="14" t="n">
        <x:f>Portfolio_Inputs!B3*(1+J2)^10</x:f>
        <x:v>421837.0961702187</x:v>
      </x:c>
    </x:row>
    <x:row r="7">
      <x:c r="A7" t="str">
        <x:v>VIG</x:v>
      </x:c>
      <x:c r="B7" t="str">
        <x:v>Dividend ETF</x:v>
      </x:c>
      <x:c r="C7" s="16" t="n">
        <x:v>10</x:v>
      </x:c>
      <x:c r="D7" s="24" t="n">
        <x:v>0.07189159357122721</x:v>
      </x:c>
      <x:c r="E7" s="24" t="n">
        <x:v>0.1114135553538579</x:v>
      </x:c>
      <x:c r="F7" s="26" t="n">
        <x:v>0.2862451832717939</x:v>
      </x:c>
      <x:c r="G7" s="24" t="n">
        <x:v>-0.10327352717734917</x:v>
      </x:c>
      <x:c r="I7" t="str">
        <x:v>Worst Asset Drawdown</x:v>
      </x:c>
      <x:c r="J7" s="24" t="n">
        <x:f>MIN(G2:G7)</x:f>
        <x:v>-0.12499174171669614</x:v>
      </x:c>
    </x:row>
  </x:sheetData>
  <x:pageMargins left="0.7" right="0.7" top="0.75" bottom="0.75" header="0.3" footer="0.3"/>
  <x:tableParts count="1">
    <x:tablePart xmlns:r="http://schemas.openxmlformats.org/officeDocument/2006/relationships" r:id="Re41a53c65ee44e9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.849999904632568" hidden="0" customWidth="1"/>
    <x:col min="2" max="2" width="10.359999656677246" hidden="0" customWidth="1"/>
    <x:col min="3" max="3" width="10.359999656677246" hidden="0" customWidth="1"/>
    <x:col min="4" max="4" width="10.359999656677246" hidden="0" customWidth="1"/>
    <x:col min="5" max="5" width="11.039999961853027" hidden="0" customWidth="1"/>
    <x:col min="6" max="6" width="11.039999961853027" hidden="0" customWidth="1"/>
    <x:col min="7" max="7" width="10.359999656677246" hidden="0" customWidth="1"/>
  </x:cols>
  <x:sheetData>
    <x:row r="1">
      <x:c r="A1" s="8" t="str">
        <x:v>Ticker</x:v>
      </x:c>
      <x:c r="B1" s="8" t="str">
        <x:v>SPY</x:v>
      </x:c>
      <x:c r="C1" s="8" t="str">
        <x:v>QQQ</x:v>
      </x:c>
      <x:c r="D1" s="8" t="str">
        <x:v>AGG</x:v>
      </x:c>
      <x:c r="E1" s="8" t="str">
        <x:v>BIL</x:v>
      </x:c>
      <x:c r="F1" s="8" t="str">
        <x:v>VNQ</x:v>
      </x:c>
      <x:c r="G1" s="8" t="str">
        <x:v>VIG</x:v>
      </x:c>
      <x:c r="H1" s="8"/>
      <x:c r="I1" s="8"/>
      <x:c r="J1" s="8"/>
      <x:c r="K1" s="8"/>
    </x:row>
    <x:row r="2">
      <x:c r="A2" t="str">
        <x:v>SPY</x:v>
      </x:c>
      <x:c r="B2" s="28" t="n">
        <x:v>0.9999999999999998</x:v>
      </x:c>
      <x:c r="C2" s="28" t="n">
        <x:v>0.4814554238662811</x:v>
      </x:c>
      <x:c r="D2" s="28" t="n">
        <x:v>0.5722818596219619</x:v>
      </x:c>
      <x:c r="E2" s="28" t="n">
        <x:v>0.20236820385437468</x:v>
      </x:c>
      <x:c r="F2" s="28" t="n">
        <x:v>0.13662290475080113</x:v>
      </x:c>
      <x:c r="G2" s="28" t="n">
        <x:v>0.5965799542850303</x:v>
      </x:c>
    </x:row>
    <x:row r="3">
      <x:c r="A3" t="str">
        <x:v>QQQ</x:v>
      </x:c>
      <x:c r="B3" s="28" t="n">
        <x:v>0.4814554238662811</x:v>
      </x:c>
      <x:c r="C3" s="28" t="n">
        <x:v>1</x:v>
      </x:c>
      <x:c r="D3" s="28" t="n">
        <x:v>0.2647849233087875</x:v>
      </x:c>
      <x:c r="E3" s="28" t="n">
        <x:v>0.0017959733578526297</x:v>
      </x:c>
      <x:c r="F3" s="28" t="n">
        <x:v>0.29596322175775436</x:v>
      </x:c>
      <x:c r="G3" s="28" t="n">
        <x:v>0.5049277814005394</x:v>
      </x:c>
    </x:row>
    <x:row r="4">
      <x:c r="A4" t="str">
        <x:v>AGG</x:v>
      </x:c>
      <x:c r="B4" s="28" t="n">
        <x:v>0.5722818596219619</x:v>
      </x:c>
      <x:c r="C4" s="28" t="n">
        <x:v>0.2647849233087875</x:v>
      </x:c>
      <x:c r="D4" s="28" t="n">
        <x:v>1</x:v>
      </x:c>
      <x:c r="E4" s="28" t="n">
        <x:v>0.3737591581771825</x:v>
      </x:c>
      <x:c r="F4" s="28" t="n">
        <x:v>0.06352881671432649</x:v>
      </x:c>
      <x:c r="G4" s="28" t="n">
        <x:v>0.3439521801288313</x:v>
      </x:c>
    </x:row>
    <x:row r="5">
      <x:c r="A5" t="str">
        <x:v>BIL</x:v>
      </x:c>
      <x:c r="B5" s="28" t="n">
        <x:v>0.20236820385437468</x:v>
      </x:c>
      <x:c r="C5" s="28" t="n">
        <x:v>0.0017959733578526297</x:v>
      </x:c>
      <x:c r="D5" s="28" t="n">
        <x:v>0.37375915817718247</x:v>
      </x:c>
      <x:c r="E5" s="28" t="n">
        <x:v>1</x:v>
      </x:c>
      <x:c r="F5" s="28" t="n">
        <x:v>-0.024533843067283415</x:v>
      </x:c>
      <x:c r="G5" s="28" t="n">
        <x:v>0.29991724197921804</x:v>
      </x:c>
    </x:row>
    <x:row r="6">
      <x:c r="A6" t="str">
        <x:v>VNQ</x:v>
      </x:c>
      <x:c r="B6" s="28" t="n">
        <x:v>0.13662290475080113</x:v>
      </x:c>
      <x:c r="C6" s="28" t="n">
        <x:v>0.2959632217577543</x:v>
      </x:c>
      <x:c r="D6" s="28" t="n">
        <x:v>0.06352881671432649</x:v>
      </x:c>
      <x:c r="E6" s="28" t="n">
        <x:v>-0.024533843067283415</x:v>
      </x:c>
      <x:c r="F6" s="28" t="n">
        <x:v>1</x:v>
      </x:c>
      <x:c r="G6" s="28" t="n">
        <x:v>0.3420808897466674</x:v>
      </x:c>
    </x:row>
    <x:row r="7">
      <x:c r="A7" t="str">
        <x:v>VIG</x:v>
      </x:c>
      <x:c r="B7" s="28" t="n">
        <x:v>0.5965799542850303</x:v>
      </x:c>
      <x:c r="C7" s="28" t="n">
        <x:v>0.5049277814005394</x:v>
      </x:c>
      <x:c r="D7" s="28" t="n">
        <x:v>0.3439521801288313</x:v>
      </x:c>
      <x:c r="E7" s="28" t="n">
        <x:v>0.29991724197921804</x:v>
      </x:c>
      <x:c r="F7" s="28" t="n">
        <x:v>0.34208088974666745</x:v>
      </x:c>
      <x:c r="G7" s="28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bb28f55f01ec42a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1.4399995803833" hidden="0" customWidth="1"/>
    <x:col min="2" max="2" width="15.069999694824219" hidden="0" customWidth="1"/>
    <x:col min="4" max="4" width="32.56999969482422" hidden="0" customWidth="1"/>
    <x:col min="5" max="5" width="51.54999923706055" hidden="0" customWidth="1"/>
  </x:cols>
  <x:sheetData>
    <x:row r="1">
      <x:c r="A1" s="8" t="str">
        <x:v>Simulation_ID</x:v>
      </x:c>
      <x:c r="B1" s="8" t="str">
        <x:v>Ending_Value_10Y</x:v>
      </x:c>
      <x:c r="C1" s="8"/>
      <x:c r="D1" s="8" t="str">
        <x:v>Monte Carlo KPI</x:v>
      </x:c>
      <x:c r="E1" s="8" t="str">
        <x:v>Value</x:v>
      </x:c>
      <x:c r="F1" s="8"/>
      <x:c r="G1" s="8"/>
      <x:c r="H1" s="8"/>
      <x:c r="I1" s="8"/>
      <x:c r="J1" s="8"/>
      <x:c r="K1" s="8"/>
    </x:row>
    <x:row r="2">
      <x:c r="A2" t="n">
        <x:v>1</x:v>
      </x:c>
      <x:c r="B2" s="14" t="n">
        <x:v>456591.59735334746</x:v>
      </x:c>
      <x:c r="D2" t="str">
        <x:v>5th Percentile</x:v>
      </x:c>
      <x:c r="E2" s="14" t="n">
        <x:f>PERCENTILE(B2:B501,0.05)</x:f>
        <x:v>289871.3370294519</x:v>
      </x:c>
    </x:row>
    <x:row r="3">
      <x:c r="A3" t="n">
        <x:v>2</x:v>
      </x:c>
      <x:c r="B3" s="14" t="n">
        <x:v>358458.7426763192</x:v>
      </x:c>
      <x:c r="D3" t="str">
        <x:v>Median</x:v>
      </x:c>
      <x:c r="E3" s="14" t="n">
        <x:f>MEDIAN(B2:B501)</x:f>
        <x:v>418628.05781865434</x:v>
      </x:c>
    </x:row>
    <x:row r="4">
      <x:c r="A4" t="n">
        <x:v>3</x:v>
      </x:c>
      <x:c r="B4" s="14" t="n">
        <x:v>387049.0835101556</x:v>
      </x:c>
      <x:c r="D4" t="str">
        <x:v>Mean</x:v>
      </x:c>
      <x:c r="E4" s="14" t="n">
        <x:f>AVERAGE(B2:B501)</x:f>
        <x:v>424342.9572972333</x:v>
      </x:c>
    </x:row>
    <x:row r="5">
      <x:c r="A5" t="n">
        <x:v>4</x:v>
      </x:c>
      <x:c r="B5" s="14" t="n">
        <x:v>477097.02037346154</x:v>
      </x:c>
      <x:c r="D5" t="str">
        <x:v>95th Percentile</x:v>
      </x:c>
      <x:c r="E5" s="14" t="n">
        <x:f>PERCENTILE(B2:B501,0.95)</x:f>
        <x:v>582743.0554615862</x:v>
      </x:c>
    </x:row>
    <x:row r="6">
      <x:c r="A6" t="n">
        <x:v>5</x:v>
      </x:c>
      <x:c r="B6" s="14" t="n">
        <x:v>500560.4474504427</x:v>
      </x:c>
      <x:c r="D6" t="str">
        <x:v>Probability Ending Below Starting Capital</x:v>
      </x:c>
      <x:c r="E6" s="16" t="n">
        <x:f>COUNTIF(B2:B501,"&lt;200000")/COUNT(B2:B501)</x:f>
        <x:v>0</x:v>
      </x:c>
    </x:row>
    <x:row r="7">
      <x:c r="A7" t="n">
        <x:v>6</x:v>
      </x:c>
      <x:c r="B7" s="14" t="n">
        <x:v>514004.7293814225</x:v>
      </x:c>
      <x:c r="D7" t="str">
        <x:v>Probability Ending Above $400k</x:v>
      </x:c>
      <x:c r="E7" s="16" t="n">
        <x:f>COUNTIF(B2:B501,"&gt;400000")/COUNT(B2:B501)</x:f>
        <x:v>0.59</x:v>
      </x:c>
    </x:row>
    <x:row r="8">
      <x:c r="A8" t="n">
        <x:v>7</x:v>
      </x:c>
      <x:c r="B8" s="14" t="n">
        <x:v>325644.38723056787</x:v>
      </x:c>
      <x:c r="D8" t="str">
        <x:v>Interpretation</x:v>
      </x:c>
      <x:c r="E8" t="str">
        <x:v>Use percentiles to explain downside risk and upside opportunity.</x:v>
      </x:c>
    </x:row>
    <x:row r="9">
      <x:c r="A9" t="n">
        <x:v>8</x:v>
      </x:c>
      <x:c r="B9" s="14" t="n">
        <x:v>624135.7367490884</x:v>
      </x:c>
    </x:row>
    <x:row r="10">
      <x:c r="A10" t="n">
        <x:v>9</x:v>
      </x:c>
      <x:c r="B10" s="14" t="n">
        <x:v>470337.17482140794</x:v>
      </x:c>
    </x:row>
    <x:row r="11">
      <x:c r="A11" t="n">
        <x:v>10</x:v>
      </x:c>
      <x:c r="B11" s="14" t="n">
        <x:v>644290.0218850975</x:v>
      </x:c>
    </x:row>
    <x:row r="12">
      <x:c r="A12" t="n">
        <x:v>11</x:v>
      </x:c>
      <x:c r="B12" s="14" t="n">
        <x:v>285024.4034097289</x:v>
      </x:c>
    </x:row>
    <x:row r="13">
      <x:c r="A13" t="n">
        <x:v>12</x:v>
      </x:c>
      <x:c r="B13" s="14" t="n">
        <x:v>418916.43890532345</x:v>
      </x:c>
    </x:row>
    <x:row r="14">
      <x:c r="A14" t="n">
        <x:v>13</x:v>
      </x:c>
      <x:c r="B14" s="14" t="n">
        <x:v>454746.2236526374</x:v>
      </x:c>
    </x:row>
    <x:row r="15">
      <x:c r="A15" t="n">
        <x:v>14</x:v>
      </x:c>
      <x:c r="B15" s="14" t="n">
        <x:v>394633.2773505078</x:v>
      </x:c>
    </x:row>
    <x:row r="16">
      <x:c r="A16" t="n">
        <x:v>15</x:v>
      </x:c>
      <x:c r="B16" s="14" t="n">
        <x:v>400299.17344343406</x:v>
      </x:c>
    </x:row>
    <x:row r="17">
      <x:c r="A17" t="n">
        <x:v>16</x:v>
      </x:c>
      <x:c r="B17" s="14" t="n">
        <x:v>385378.80052753567</x:v>
      </x:c>
    </x:row>
    <x:row r="18">
      <x:c r="A18" t="n">
        <x:v>17</x:v>
      </x:c>
      <x:c r="B18" s="14" t="n">
        <x:v>570774.2964917531</x:v>
      </x:c>
    </x:row>
    <x:row r="19">
      <x:c r="A19" t="n">
        <x:v>18</x:v>
      </x:c>
      <x:c r="B19" s="14" t="n">
        <x:v>434766.8273503818</x:v>
      </x:c>
    </x:row>
    <x:row r="20">
      <x:c r="A20" t="n">
        <x:v>19</x:v>
      </x:c>
      <x:c r="B20" s="14" t="n">
        <x:v>453363.5851426331</x:v>
      </x:c>
    </x:row>
    <x:row r="21">
      <x:c r="A21" t="n">
        <x:v>20</x:v>
      </x:c>
      <x:c r="B21" s="14" t="n">
        <x:v>485698.92463441356</x:v>
      </x:c>
    </x:row>
    <x:row r="22">
      <x:c r="A22" t="n">
        <x:v>21</x:v>
      </x:c>
      <x:c r="B22" s="14" t="n">
        <x:v>489297.22139225766</x:v>
      </x:c>
    </x:row>
    <x:row r="23">
      <x:c r="A23" t="n">
        <x:v>22</x:v>
      </x:c>
      <x:c r="B23" s="14" t="n">
        <x:v>372538.88618845044</x:v>
      </x:c>
    </x:row>
    <x:row r="24">
      <x:c r="A24" t="n">
        <x:v>23</x:v>
      </x:c>
      <x:c r="B24" s="14" t="n">
        <x:v>377340.5320779815</x:v>
      </x:c>
    </x:row>
    <x:row r="25">
      <x:c r="A25" t="n">
        <x:v>24</x:v>
      </x:c>
      <x:c r="B25" s="14" t="n">
        <x:v>405208.0214411409</x:v>
      </x:c>
    </x:row>
    <x:row r="26">
      <x:c r="A26" t="n">
        <x:v>25</x:v>
      </x:c>
      <x:c r="B26" s="14" t="n">
        <x:v>553333.0347502758</x:v>
      </x:c>
    </x:row>
    <x:row r="27">
      <x:c r="A27" t="n">
        <x:v>26</x:v>
      </x:c>
      <x:c r="B27" s="14" t="n">
        <x:v>384007.42051170924</x:v>
      </x:c>
    </x:row>
    <x:row r="28">
      <x:c r="A28" t="n">
        <x:v>27</x:v>
      </x:c>
      <x:c r="B28" s="14" t="n">
        <x:v>449168.358429738</x:v>
      </x:c>
    </x:row>
    <x:row r="29">
      <x:c r="A29" t="n">
        <x:v>28</x:v>
      </x:c>
      <x:c r="B29" s="14" t="n">
        <x:v>403396.15662329167</x:v>
      </x:c>
    </x:row>
    <x:row r="30">
      <x:c r="A30" t="n">
        <x:v>29</x:v>
      </x:c>
      <x:c r="B30" s="14" t="n">
        <x:v>381089.18109095196</x:v>
      </x:c>
    </x:row>
    <x:row r="31">
      <x:c r="A31" t="n">
        <x:v>30</x:v>
      </x:c>
      <x:c r="B31" s="14" t="n">
        <x:v>336873.98718144925</x:v>
      </x:c>
    </x:row>
    <x:row r="32">
      <x:c r="A32" t="n">
        <x:v>31</x:v>
      </x:c>
      <x:c r="B32" s="14" t="n">
        <x:v>386119.84167495486</x:v>
      </x:c>
    </x:row>
    <x:row r="33">
      <x:c r="A33" t="n">
        <x:v>32</x:v>
      </x:c>
      <x:c r="B33" s="14" t="n">
        <x:v>472187.5205278254</x:v>
      </x:c>
    </x:row>
    <x:row r="34">
      <x:c r="A34" t="n">
        <x:v>33</x:v>
      </x:c>
      <x:c r="B34" s="14" t="n">
        <x:v>397780.59162817884</x:v>
      </x:c>
    </x:row>
    <x:row r="35">
      <x:c r="A35" t="n">
        <x:v>34</x:v>
      </x:c>
      <x:c r="B35" s="14" t="n">
        <x:v>423714.7854397921</x:v>
      </x:c>
    </x:row>
    <x:row r="36">
      <x:c r="A36" t="n">
        <x:v>35</x:v>
      </x:c>
      <x:c r="B36" s="14" t="n">
        <x:v>462535.1986600293</x:v>
      </x:c>
    </x:row>
    <x:row r="37">
      <x:c r="A37" t="n">
        <x:v>36</x:v>
      </x:c>
      <x:c r="B37" s="14" t="n">
        <x:v>611140.2221597014</x:v>
      </x:c>
    </x:row>
    <x:row r="38">
      <x:c r="A38" t="n">
        <x:v>37</x:v>
      </x:c>
      <x:c r="B38" s="14" t="n">
        <x:v>336414.50587866904</x:v>
      </x:c>
    </x:row>
    <x:row r="39">
      <x:c r="A39" t="n">
        <x:v>38</x:v>
      </x:c>
      <x:c r="B39" s="14" t="n">
        <x:v>681711.2066027836</x:v>
      </x:c>
    </x:row>
    <x:row r="40">
      <x:c r="A40" t="n">
        <x:v>39</x:v>
      </x:c>
      <x:c r="B40" s="14" t="n">
        <x:v>636133.4324374781</x:v>
      </x:c>
    </x:row>
    <x:row r="41">
      <x:c r="A41" t="n">
        <x:v>40</x:v>
      </x:c>
      <x:c r="B41" s="14" t="n">
        <x:v>383479.0226873421</x:v>
      </x:c>
    </x:row>
    <x:row r="42">
      <x:c r="A42" t="n">
        <x:v>41</x:v>
      </x:c>
      <x:c r="B42" s="14" t="n">
        <x:v>221071.13983488063</x:v>
      </x:c>
    </x:row>
    <x:row r="43">
      <x:c r="A43" t="n">
        <x:v>42</x:v>
      </x:c>
      <x:c r="B43" s="14" t="n">
        <x:v>390417.91748286295</x:v>
      </x:c>
    </x:row>
    <x:row r="44">
      <x:c r="A44" t="n">
        <x:v>43</x:v>
      </x:c>
      <x:c r="B44" s="14" t="n">
        <x:v>408449.5994407471</x:v>
      </x:c>
    </x:row>
    <x:row r="45">
      <x:c r="A45" t="n">
        <x:v>44</x:v>
      </x:c>
      <x:c r="B45" s="14" t="n">
        <x:v>539549.4567291453</x:v>
      </x:c>
    </x:row>
    <x:row r="46">
      <x:c r="A46" t="n">
        <x:v>45</x:v>
      </x:c>
      <x:c r="B46" s="14" t="n">
        <x:v>335548.4037901512</x:v>
      </x:c>
    </x:row>
    <x:row r="47">
      <x:c r="A47" t="n">
        <x:v>46</x:v>
      </x:c>
      <x:c r="B47" s="14" t="n">
        <x:v>497734.2520544148</x:v>
      </x:c>
    </x:row>
    <x:row r="48">
      <x:c r="A48" t="n">
        <x:v>47</x:v>
      </x:c>
      <x:c r="B48" s="14" t="n">
        <x:v>392056.6461766002</x:v>
      </x:c>
    </x:row>
    <x:row r="49">
      <x:c r="A49" t="n">
        <x:v>48</x:v>
      </x:c>
      <x:c r="B49" s="14" t="n">
        <x:v>479684.4782282351</x:v>
      </x:c>
    </x:row>
    <x:row r="50">
      <x:c r="A50" t="n">
        <x:v>49</x:v>
      </x:c>
      <x:c r="B50" s="14" t="n">
        <x:v>328632.83077595686</x:v>
      </x:c>
    </x:row>
    <x:row r="51">
      <x:c r="A51" t="n">
        <x:v>50</x:v>
      </x:c>
      <x:c r="B51" s="14" t="n">
        <x:v>336703.66865636717</x:v>
      </x:c>
    </x:row>
    <x:row r="52">
      <x:c r="A52" t="n">
        <x:v>51</x:v>
      </x:c>
      <x:c r="B52" s="14" t="n">
        <x:v>504245.9192678329</x:v>
      </x:c>
    </x:row>
    <x:row r="53">
      <x:c r="A53" t="n">
        <x:v>52</x:v>
      </x:c>
      <x:c r="B53" s="14" t="n">
        <x:v>342628.64573577093</x:v>
      </x:c>
    </x:row>
    <x:row r="54">
      <x:c r="A54" t="n">
        <x:v>53</x:v>
      </x:c>
      <x:c r="B54" s="14" t="n">
        <x:v>375803.28853621526</x:v>
      </x:c>
    </x:row>
    <x:row r="55">
      <x:c r="A55" t="n">
        <x:v>54</x:v>
      </x:c>
      <x:c r="B55" s="14" t="n">
        <x:v>322879.6412262444</x:v>
      </x:c>
    </x:row>
    <x:row r="56">
      <x:c r="A56" t="n">
        <x:v>55</x:v>
      </x:c>
      <x:c r="B56" s="14" t="n">
        <x:v>520971.557058021</x:v>
      </x:c>
    </x:row>
    <x:row r="57">
      <x:c r="A57" t="n">
        <x:v>56</x:v>
      </x:c>
      <x:c r="B57" s="14" t="n">
        <x:v>582438.134089446</x:v>
      </x:c>
    </x:row>
    <x:row r="58">
      <x:c r="A58" t="n">
        <x:v>57</x:v>
      </x:c>
      <x:c r="B58" s="14" t="n">
        <x:v>404472.57366741786</x:v>
      </x:c>
    </x:row>
    <x:row r="59">
      <x:c r="A59" t="n">
        <x:v>58</x:v>
      </x:c>
      <x:c r="B59" s="14" t="n">
        <x:v>320179.5873025753</x:v>
      </x:c>
    </x:row>
    <x:row r="60">
      <x:c r="A60" t="n">
        <x:v>59</x:v>
      </x:c>
      <x:c r="B60" s="14" t="n">
        <x:v>450142.07776538224</x:v>
      </x:c>
    </x:row>
    <x:row r="61">
      <x:c r="A61" t="n">
        <x:v>60</x:v>
      </x:c>
      <x:c r="B61" s="14" t="n">
        <x:v>339130.2718625546</x:v>
      </x:c>
    </x:row>
    <x:row r="62">
      <x:c r="A62" t="n">
        <x:v>61</x:v>
      </x:c>
      <x:c r="B62" s="14" t="n">
        <x:v>346490.18875853805</x:v>
      </x:c>
    </x:row>
    <x:row r="63">
      <x:c r="A63" t="n">
        <x:v>62</x:v>
      </x:c>
      <x:c r="B63" s="14" t="n">
        <x:v>540023.7646320853</x:v>
      </x:c>
    </x:row>
    <x:row r="64">
      <x:c r="A64" t="n">
        <x:v>63</x:v>
      </x:c>
      <x:c r="B64" s="14" t="n">
        <x:v>329337.2937892437</x:v>
      </x:c>
    </x:row>
    <x:row r="65">
      <x:c r="A65" t="n">
        <x:v>64</x:v>
      </x:c>
      <x:c r="B65" s="14" t="n">
        <x:v>462737.3941225065</x:v>
      </x:c>
    </x:row>
    <x:row r="66">
      <x:c r="A66" t="n">
        <x:v>65</x:v>
      </x:c>
      <x:c r="B66" s="14" t="n">
        <x:v>463985.43983841606</x:v>
      </x:c>
    </x:row>
    <x:row r="67">
      <x:c r="A67" t="n">
        <x:v>66</x:v>
      </x:c>
      <x:c r="B67" s="14" t="n">
        <x:v>450928.54757110967</x:v>
      </x:c>
    </x:row>
    <x:row r="68">
      <x:c r="A68" t="n">
        <x:v>67</x:v>
      </x:c>
      <x:c r="B68" s="14" t="n">
        <x:v>375591.1690738548</x:v>
      </x:c>
    </x:row>
    <x:row r="69">
      <x:c r="A69" t="n">
        <x:v>68</x:v>
      </x:c>
      <x:c r="B69" s="14" t="n">
        <x:v>411266.11997791973</x:v>
      </x:c>
    </x:row>
    <x:row r="70">
      <x:c r="A70" t="n">
        <x:v>69</x:v>
      </x:c>
      <x:c r="B70" s="14" t="n">
        <x:v>432447.0104179018</x:v>
      </x:c>
    </x:row>
    <x:row r="71">
      <x:c r="A71" t="n">
        <x:v>70</x:v>
      </x:c>
      <x:c r="B71" s="14" t="n">
        <x:v>444574.79856864025</x:v>
      </x:c>
    </x:row>
    <x:row r="72">
      <x:c r="A72" t="n">
        <x:v>71</x:v>
      </x:c>
      <x:c r="B72" s="14" t="n">
        <x:v>448796.2253824788</x:v>
      </x:c>
    </x:row>
    <x:row r="73">
      <x:c r="A73" t="n">
        <x:v>72</x:v>
      </x:c>
      <x:c r="B73" s="14" t="n">
        <x:v>359162.1442997389</x:v>
      </x:c>
    </x:row>
    <x:row r="74">
      <x:c r="A74" t="n">
        <x:v>73</x:v>
      </x:c>
      <x:c r="B74" s="14" t="n">
        <x:v>579688.7114165624</x:v>
      </x:c>
    </x:row>
    <x:row r="75">
      <x:c r="A75" t="n">
        <x:v>74</x:v>
      </x:c>
      <x:c r="B75" s="14" t="n">
        <x:v>410567.27078124764</x:v>
      </x:c>
    </x:row>
    <x:row r="76">
      <x:c r="A76" t="n">
        <x:v>75</x:v>
      </x:c>
      <x:c r="B76" s="14" t="n">
        <x:v>286802.10216507816</x:v>
      </x:c>
    </x:row>
    <x:row r="77">
      <x:c r="A77" t="n">
        <x:v>76</x:v>
      </x:c>
      <x:c r="B77" s="14" t="n">
        <x:v>500178.3033357139</x:v>
      </x:c>
    </x:row>
    <x:row r="78">
      <x:c r="A78" t="n">
        <x:v>77</x:v>
      </x:c>
      <x:c r="B78" s="14" t="n">
        <x:v>497965.36411524174</x:v>
      </x:c>
    </x:row>
    <x:row r="79">
      <x:c r="A79" t="n">
        <x:v>78</x:v>
      </x:c>
      <x:c r="B79" s="14" t="n">
        <x:v>449670.98484130885</x:v>
      </x:c>
    </x:row>
    <x:row r="80">
      <x:c r="A80" t="n">
        <x:v>79</x:v>
      </x:c>
      <x:c r="B80" s="14" t="n">
        <x:v>329573.88016834896</x:v>
      </x:c>
    </x:row>
    <x:row r="81">
      <x:c r="A81" t="n">
        <x:v>80</x:v>
      </x:c>
      <x:c r="B81" s="14" t="n">
        <x:v>405844.6074374855</x:v>
      </x:c>
    </x:row>
    <x:row r="82">
      <x:c r="A82" t="n">
        <x:v>81</x:v>
      </x:c>
      <x:c r="B82" s="14" t="n">
        <x:v>503955.3772013129</x:v>
      </x:c>
    </x:row>
    <x:row r="83">
      <x:c r="A83" t="n">
        <x:v>82</x:v>
      </x:c>
      <x:c r="B83" s="14" t="n">
        <x:v>395021.7181175779</x:v>
      </x:c>
    </x:row>
    <x:row r="84">
      <x:c r="A84" t="n">
        <x:v>83</x:v>
      </x:c>
      <x:c r="B84" s="14" t="n">
        <x:v>202091.85319156793</x:v>
      </x:c>
    </x:row>
    <x:row r="85">
      <x:c r="A85" t="n">
        <x:v>84</x:v>
      </x:c>
      <x:c r="B85" s="14" t="n">
        <x:v>353969.4256584269</x:v>
      </x:c>
    </x:row>
    <x:row r="86">
      <x:c r="A86" t="n">
        <x:v>85</x:v>
      </x:c>
      <x:c r="B86" s="14" t="n">
        <x:v>554589.6113733947</x:v>
      </x:c>
    </x:row>
    <x:row r="87">
      <x:c r="A87" t="n">
        <x:v>86</x:v>
      </x:c>
      <x:c r="B87" s="14" t="n">
        <x:v>386600.413616615</x:v>
      </x:c>
    </x:row>
    <x:row r="88">
      <x:c r="A88" t="n">
        <x:v>87</x:v>
      </x:c>
      <x:c r="B88" s="14" t="n">
        <x:v>428153.72820472636</x:v>
      </x:c>
    </x:row>
    <x:row r="89">
      <x:c r="A89" t="n">
        <x:v>88</x:v>
      </x:c>
      <x:c r="B89" s="14" t="n">
        <x:v>521518.4824594964</x:v>
      </x:c>
    </x:row>
    <x:row r="90">
      <x:c r="A90" t="n">
        <x:v>89</x:v>
      </x:c>
      <x:c r="B90" s="14" t="n">
        <x:v>383651.0038623457</x:v>
      </x:c>
    </x:row>
    <x:row r="91">
      <x:c r="A91" t="n">
        <x:v>90</x:v>
      </x:c>
      <x:c r="B91" s="14" t="n">
        <x:v>441054.77721095894</x:v>
      </x:c>
    </x:row>
    <x:row r="92">
      <x:c r="A92" t="n">
        <x:v>91</x:v>
      </x:c>
      <x:c r="B92" s="14" t="n">
        <x:v>420156.72252370225</x:v>
      </x:c>
    </x:row>
    <x:row r="93">
      <x:c r="A93" t="n">
        <x:v>92</x:v>
      </x:c>
      <x:c r="B93" s="14" t="n">
        <x:v>453709.3198980698</x:v>
      </x:c>
    </x:row>
    <x:row r="94">
      <x:c r="A94" t="n">
        <x:v>93</x:v>
      </x:c>
      <x:c r="B94" s="14" t="n">
        <x:v>261237.3363844466</x:v>
      </x:c>
    </x:row>
    <x:row r="95">
      <x:c r="A95" t="n">
        <x:v>94</x:v>
      </x:c>
      <x:c r="B95" s="14" t="n">
        <x:v>400819.9553394538</x:v>
      </x:c>
    </x:row>
    <x:row r="96">
      <x:c r="A96" t="n">
        <x:v>95</x:v>
      </x:c>
      <x:c r="B96" s="14" t="n">
        <x:v>356689.03197434585</x:v>
      </x:c>
    </x:row>
    <x:row r="97">
      <x:c r="A97" t="n">
        <x:v>96</x:v>
      </x:c>
      <x:c r="B97" s="14" t="n">
        <x:v>626999.3891914674</x:v>
      </x:c>
    </x:row>
    <x:row r="98">
      <x:c r="A98" t="n">
        <x:v>97</x:v>
      </x:c>
      <x:c r="B98" s="14" t="n">
        <x:v>385260.1091370363</x:v>
      </x:c>
    </x:row>
    <x:row r="99">
      <x:c r="A99" t="n">
        <x:v>98</x:v>
      </x:c>
      <x:c r="B99" s="14" t="n">
        <x:v>535535.9243088787</x:v>
      </x:c>
    </x:row>
    <x:row r="100">
      <x:c r="A100" t="n">
        <x:v>99</x:v>
      </x:c>
      <x:c r="B100" s="14" t="n">
        <x:v>312193.4261253311</x:v>
      </x:c>
    </x:row>
    <x:row r="101">
      <x:c r="A101" t="n">
        <x:v>100</x:v>
      </x:c>
      <x:c r="B101" s="14" t="n">
        <x:v>548920.7901468723</x:v>
      </x:c>
    </x:row>
    <x:row r="102">
      <x:c r="A102" t="n">
        <x:v>101</x:v>
      </x:c>
      <x:c r="B102" s="14" t="n">
        <x:v>425602.4766958621</x:v>
      </x:c>
    </x:row>
    <x:row r="103">
      <x:c r="A103" t="n">
        <x:v>102</x:v>
      </x:c>
      <x:c r="B103" s="14" t="n">
        <x:v>325328.83703175635</x:v>
      </x:c>
    </x:row>
    <x:row r="104">
      <x:c r="A104" t="n">
        <x:v>103</x:v>
      </x:c>
      <x:c r="B104" s="14" t="n">
        <x:v>406732.99895882054</x:v>
      </x:c>
    </x:row>
    <x:row r="105">
      <x:c r="A105" t="n">
        <x:v>104</x:v>
      </x:c>
      <x:c r="B105" s="14" t="n">
        <x:v>475157.538935833</x:v>
      </x:c>
    </x:row>
    <x:row r="106">
      <x:c r="A106" t="n">
        <x:v>105</x:v>
      </x:c>
      <x:c r="B106" s="14" t="n">
        <x:v>344796.6643030326</x:v>
      </x:c>
    </x:row>
    <x:row r="107">
      <x:c r="A107" t="n">
        <x:v>106</x:v>
      </x:c>
      <x:c r="B107" s="14" t="n">
        <x:v>621757.1053734695</x:v>
      </x:c>
    </x:row>
    <x:row r="108">
      <x:c r="A108" t="n">
        <x:v>107</x:v>
      </x:c>
      <x:c r="B108" s="14" t="n">
        <x:v>432959.3579337668</x:v>
      </x:c>
    </x:row>
    <x:row r="109">
      <x:c r="A109" t="n">
        <x:v>108</x:v>
      </x:c>
      <x:c r="B109" s="14" t="n">
        <x:v>464542.74026042357</x:v>
      </x:c>
    </x:row>
    <x:row r="110">
      <x:c r="A110" t="n">
        <x:v>109</x:v>
      </x:c>
      <x:c r="B110" s="14" t="n">
        <x:v>386596.66866078635</x:v>
      </x:c>
    </x:row>
    <x:row r="111">
      <x:c r="A111" t="n">
        <x:v>110</x:v>
      </x:c>
      <x:c r="B111" s="14" t="n">
        <x:v>330476.95195571234</x:v>
      </x:c>
    </x:row>
    <x:row r="112">
      <x:c r="A112" t="n">
        <x:v>111</x:v>
      </x:c>
      <x:c r="B112" s="14" t="n">
        <x:v>261763.3963230784</x:v>
      </x:c>
    </x:row>
    <x:row r="113">
      <x:c r="A113" t="n">
        <x:v>112</x:v>
      </x:c>
      <x:c r="B113" s="14" t="n">
        <x:v>312597.0087732472</x:v>
      </x:c>
    </x:row>
    <x:row r="114">
      <x:c r="A114" t="n">
        <x:v>113</x:v>
      </x:c>
      <x:c r="B114" s="14" t="n">
        <x:v>423737.41773327487</x:v>
      </x:c>
    </x:row>
    <x:row r="115">
      <x:c r="A115" t="n">
        <x:v>114</x:v>
      </x:c>
      <x:c r="B115" s="14" t="n">
        <x:v>454403.99488271144</x:v>
      </x:c>
    </x:row>
    <x:row r="116">
      <x:c r="A116" t="n">
        <x:v>115</x:v>
      </x:c>
      <x:c r="B116" s="14" t="n">
        <x:v>291571.8941234959</x:v>
      </x:c>
    </x:row>
    <x:row r="117">
      <x:c r="A117" t="n">
        <x:v>116</x:v>
      </x:c>
      <x:c r="B117" s="14" t="n">
        <x:v>446684.16479525104</x:v>
      </x:c>
    </x:row>
    <x:row r="118">
      <x:c r="A118" t="n">
        <x:v>117</x:v>
      </x:c>
      <x:c r="B118" s="14" t="n">
        <x:v>457802.177179074</x:v>
      </x:c>
    </x:row>
    <x:row r="119">
      <x:c r="A119" t="n">
        <x:v>118</x:v>
      </x:c>
      <x:c r="B119" s="14" t="n">
        <x:v>246581.66451163194</x:v>
      </x:c>
    </x:row>
    <x:row r="120">
      <x:c r="A120" t="n">
        <x:v>119</x:v>
      </x:c>
      <x:c r="B120" s="14" t="n">
        <x:v>564451.7098504573</x:v>
      </x:c>
    </x:row>
    <x:row r="121">
      <x:c r="A121" t="n">
        <x:v>120</x:v>
      </x:c>
      <x:c r="B121" s="14" t="n">
        <x:v>409732.1984071606</x:v>
      </x:c>
    </x:row>
    <x:row r="122">
      <x:c r="A122" t="n">
        <x:v>121</x:v>
      </x:c>
      <x:c r="B122" s="14" t="n">
        <x:v>412075.8565179125</x:v>
      </x:c>
    </x:row>
    <x:row r="123">
      <x:c r="A123" t="n">
        <x:v>122</x:v>
      </x:c>
      <x:c r="B123" s="14" t="n">
        <x:v>581574.3274110021</x:v>
      </x:c>
    </x:row>
    <x:row r="124">
      <x:c r="A124" t="n">
        <x:v>123</x:v>
      </x:c>
      <x:c r="B124" s="14" t="n">
        <x:v>469886.9258925272</x:v>
      </x:c>
    </x:row>
    <x:row r="125">
      <x:c r="A125" t="n">
        <x:v>124</x:v>
      </x:c>
      <x:c r="B125" s="14" t="n">
        <x:v>453750.57583116577</x:v>
      </x:c>
    </x:row>
    <x:row r="126">
      <x:c r="A126" t="n">
        <x:v>125</x:v>
      </x:c>
      <x:c r="B126" s="14" t="n">
        <x:v>418882.69800830516</x:v>
      </x:c>
    </x:row>
    <x:row r="127">
      <x:c r="A127" t="n">
        <x:v>126</x:v>
      </x:c>
      <x:c r="B127" s="14" t="n">
        <x:v>557558.6321395601</x:v>
      </x:c>
    </x:row>
    <x:row r="128">
      <x:c r="A128" t="n">
        <x:v>127</x:v>
      </x:c>
      <x:c r="B128" s="14" t="n">
        <x:v>456033.19384231133</x:v>
      </x:c>
    </x:row>
    <x:row r="129">
      <x:c r="A129" t="n">
        <x:v>128</x:v>
      </x:c>
      <x:c r="B129" s="14" t="n">
        <x:v>243315.43506884685</x:v>
      </x:c>
    </x:row>
    <x:row r="130">
      <x:c r="A130" t="n">
        <x:v>129</x:v>
      </x:c>
      <x:c r="B130" s="14" t="n">
        <x:v>557636.8439573094</x:v>
      </x:c>
    </x:row>
    <x:row r="131">
      <x:c r="A131" t="n">
        <x:v>130</x:v>
      </x:c>
      <x:c r="B131" s="14" t="n">
        <x:v>553113.4789092147</x:v>
      </x:c>
    </x:row>
    <x:row r="132">
      <x:c r="A132" t="n">
        <x:v>131</x:v>
      </x:c>
      <x:c r="B132" s="14" t="n">
        <x:v>475099.55817773356</x:v>
      </x:c>
    </x:row>
    <x:row r="133">
      <x:c r="A133" t="n">
        <x:v>132</x:v>
      </x:c>
      <x:c r="B133" s="14" t="n">
        <x:v>486246.53016277606</x:v>
      </x:c>
    </x:row>
    <x:row r="134">
      <x:c r="A134" t="n">
        <x:v>133</x:v>
      </x:c>
      <x:c r="B134" s="14" t="n">
        <x:v>352152.4697736503</x:v>
      </x:c>
    </x:row>
    <x:row r="135">
      <x:c r="A135" t="n">
        <x:v>134</x:v>
      </x:c>
      <x:c r="B135" s="14" t="n">
        <x:v>318183.4200991476</x:v>
      </x:c>
    </x:row>
    <x:row r="136">
      <x:c r="A136" t="n">
        <x:v>135</x:v>
      </x:c>
      <x:c r="B136" s="14" t="n">
        <x:v>547017.4552931385</x:v>
      </x:c>
    </x:row>
    <x:row r="137">
      <x:c r="A137" t="n">
        <x:v>136</x:v>
      </x:c>
      <x:c r="B137" s="14" t="n">
        <x:v>461057.30282648845</x:v>
      </x:c>
    </x:row>
    <x:row r="138">
      <x:c r="A138" t="n">
        <x:v>137</x:v>
      </x:c>
      <x:c r="B138" s="14" t="n">
        <x:v>376456.17205427156</x:v>
      </x:c>
    </x:row>
    <x:row r="139">
      <x:c r="A139" t="n">
        <x:v>138</x:v>
      </x:c>
      <x:c r="B139" s="14" t="n">
        <x:v>441891.5047284593</x:v>
      </x:c>
    </x:row>
    <x:row r="140">
      <x:c r="A140" t="n">
        <x:v>139</x:v>
      </x:c>
      <x:c r="B140" s="14" t="n">
        <x:v>368823.24403685017</x:v>
      </x:c>
    </x:row>
    <x:row r="141">
      <x:c r="A141" t="n">
        <x:v>140</x:v>
      </x:c>
      <x:c r="B141" s="14" t="n">
        <x:v>432776.8301935666</x:v>
      </x:c>
    </x:row>
    <x:row r="142">
      <x:c r="A142" t="n">
        <x:v>141</x:v>
      </x:c>
      <x:c r="B142" s="14" t="n">
        <x:v>363118.1823412626</x:v>
      </x:c>
    </x:row>
    <x:row r="143">
      <x:c r="A143" t="n">
        <x:v>142</x:v>
      </x:c>
      <x:c r="B143" s="14" t="n">
        <x:v>480712.64128922974</x:v>
      </x:c>
    </x:row>
    <x:row r="144">
      <x:c r="A144" t="n">
        <x:v>143</x:v>
      </x:c>
      <x:c r="B144" s="14" t="n">
        <x:v>385532.26481402316</x:v>
      </x:c>
    </x:row>
    <x:row r="145">
      <x:c r="A145" t="n">
        <x:v>144</x:v>
      </x:c>
      <x:c r="B145" s="14" t="n">
        <x:v>475127.529210213</x:v>
      </x:c>
    </x:row>
    <x:row r="146">
      <x:c r="A146" t="n">
        <x:v>145</x:v>
      </x:c>
      <x:c r="B146" s="14" t="n">
        <x:v>392537.99991998874</x:v>
      </x:c>
    </x:row>
    <x:row r="147">
      <x:c r="A147" t="n">
        <x:v>146</x:v>
      </x:c>
      <x:c r="B147" s="14" t="n">
        <x:v>578735.6755531693</x:v>
      </x:c>
    </x:row>
    <x:row r="148">
      <x:c r="A148" t="n">
        <x:v>147</x:v>
      </x:c>
      <x:c r="B148" s="14" t="n">
        <x:v>389591.64949440054</x:v>
      </x:c>
    </x:row>
    <x:row r="149">
      <x:c r="A149" t="n">
        <x:v>148</x:v>
      </x:c>
      <x:c r="B149" s="14" t="n">
        <x:v>317202.1391181503</x:v>
      </x:c>
    </x:row>
    <x:row r="150">
      <x:c r="A150" t="n">
        <x:v>149</x:v>
      </x:c>
      <x:c r="B150" s="14" t="n">
        <x:v>608912.2220268305</x:v>
      </x:c>
    </x:row>
    <x:row r="151">
      <x:c r="A151" t="n">
        <x:v>150</x:v>
      </x:c>
      <x:c r="B151" s="14" t="n">
        <x:v>452858.78943802416</x:v>
      </x:c>
    </x:row>
    <x:row r="152">
      <x:c r="A152" t="n">
        <x:v>151</x:v>
      </x:c>
      <x:c r="B152" s="14" t="n">
        <x:v>415026.3852427733</x:v>
      </x:c>
    </x:row>
    <x:row r="153">
      <x:c r="A153" t="n">
        <x:v>152</x:v>
      </x:c>
      <x:c r="B153" s="14" t="n">
        <x:v>395296.7988727935</x:v>
      </x:c>
    </x:row>
    <x:row r="154">
      <x:c r="A154" t="n">
        <x:v>153</x:v>
      </x:c>
      <x:c r="B154" s="14" t="n">
        <x:v>404816.4010549645</x:v>
      </x:c>
    </x:row>
    <x:row r="155">
      <x:c r="A155" t="n">
        <x:v>154</x:v>
      </x:c>
      <x:c r="B155" s="14" t="n">
        <x:v>539295.3544035469</x:v>
      </x:c>
    </x:row>
    <x:row r="156">
      <x:c r="A156" t="n">
        <x:v>155</x:v>
      </x:c>
      <x:c r="B156" s="14" t="n">
        <x:v>437228.4261427669</x:v>
      </x:c>
    </x:row>
    <x:row r="157">
      <x:c r="A157" t="n">
        <x:v>156</x:v>
      </x:c>
      <x:c r="B157" s="14" t="n">
        <x:v>346020.8148700905</x:v>
      </x:c>
    </x:row>
    <x:row r="158">
      <x:c r="A158" t="n">
        <x:v>157</x:v>
      </x:c>
      <x:c r="B158" s="14" t="n">
        <x:v>576102.3298621833</x:v>
      </x:c>
    </x:row>
    <x:row r="159">
      <x:c r="A159" t="n">
        <x:v>158</x:v>
      </x:c>
      <x:c r="B159" s="14" t="n">
        <x:v>340460.9587175267</x:v>
      </x:c>
    </x:row>
    <x:row r="160">
      <x:c r="A160" t="n">
        <x:v>159</x:v>
      </x:c>
      <x:c r="B160" s="14" t="n">
        <x:v>355347.84956037096</x:v>
      </x:c>
    </x:row>
    <x:row r="161">
      <x:c r="A161" t="n">
        <x:v>160</x:v>
      </x:c>
      <x:c r="B161" s="14" t="n">
        <x:v>517068.18199990754</x:v>
      </x:c>
    </x:row>
    <x:row r="162">
      <x:c r="A162" t="n">
        <x:v>161</x:v>
      </x:c>
      <x:c r="B162" s="14" t="n">
        <x:v>391495.3452498857</x:v>
      </x:c>
    </x:row>
    <x:row r="163">
      <x:c r="A163" t="n">
        <x:v>162</x:v>
      </x:c>
      <x:c r="B163" s="14" t="n">
        <x:v>282831.64987240976</x:v>
      </x:c>
    </x:row>
    <x:row r="164">
      <x:c r="A164" t="n">
        <x:v>163</x:v>
      </x:c>
      <x:c r="B164" s="14" t="n">
        <x:v>424536.54472963366</x:v>
      </x:c>
    </x:row>
    <x:row r="165">
      <x:c r="A165" t="n">
        <x:v>164</x:v>
      </x:c>
      <x:c r="B165" s="14" t="n">
        <x:v>311238.0862182969</x:v>
      </x:c>
    </x:row>
    <x:row r="166">
      <x:c r="A166" t="n">
        <x:v>165</x:v>
      </x:c>
      <x:c r="B166" s="14" t="n">
        <x:v>346150.2908526217</x:v>
      </x:c>
    </x:row>
    <x:row r="167">
      <x:c r="A167" t="n">
        <x:v>166</x:v>
      </x:c>
      <x:c r="B167" s="14" t="n">
        <x:v>416016.2777570718</x:v>
      </x:c>
    </x:row>
    <x:row r="168">
      <x:c r="A168" t="n">
        <x:v>167</x:v>
      </x:c>
      <x:c r="B168" s="14" t="n">
        <x:v>400444.9107271989</x:v>
      </x:c>
    </x:row>
    <x:row r="169">
      <x:c r="A169" t="n">
        <x:v>168</x:v>
      </x:c>
      <x:c r="B169" s="14" t="n">
        <x:v>403358.18057487364</x:v>
      </x:c>
    </x:row>
    <x:row r="170">
      <x:c r="A170" t="n">
        <x:v>169</x:v>
      </x:c>
      <x:c r="B170" s="14" t="n">
        <x:v>352266.68573712447</x:v>
      </x:c>
    </x:row>
    <x:row r="171">
      <x:c r="A171" t="n">
        <x:v>170</x:v>
      </x:c>
      <x:c r="B171" s="14" t="n">
        <x:v>350779.38549530355</x:v>
      </x:c>
    </x:row>
    <x:row r="172">
      <x:c r="A172" t="n">
        <x:v>171</x:v>
      </x:c>
      <x:c r="B172" s="14" t="n">
        <x:v>522973.4706651874</x:v>
      </x:c>
    </x:row>
    <x:row r="173">
      <x:c r="A173" t="n">
        <x:v>172</x:v>
      </x:c>
      <x:c r="B173" s="14" t="n">
        <x:v>439751.4370847355</x:v>
      </x:c>
    </x:row>
    <x:row r="174">
      <x:c r="A174" t="n">
        <x:v>173</x:v>
      </x:c>
      <x:c r="B174" s="14" t="n">
        <x:v>420241.653462031</x:v>
      </x:c>
    </x:row>
    <x:row r="175">
      <x:c r="A175" t="n">
        <x:v>174</x:v>
      </x:c>
      <x:c r="B175" s="14" t="n">
        <x:v>414099.31326103886</x:v>
      </x:c>
    </x:row>
    <x:row r="176">
      <x:c r="A176" t="n">
        <x:v>175</x:v>
      </x:c>
      <x:c r="B176" s="14" t="n">
        <x:v>315477.6787145836</x:v>
      </x:c>
    </x:row>
    <x:row r="177">
      <x:c r="A177" t="n">
        <x:v>176</x:v>
      </x:c>
      <x:c r="B177" s="14" t="n">
        <x:v>368840.6712886388</x:v>
      </x:c>
    </x:row>
    <x:row r="178">
      <x:c r="A178" t="n">
        <x:v>177</x:v>
      </x:c>
      <x:c r="B178" s="14" t="n">
        <x:v>438534.06481483165</x:v>
      </x:c>
    </x:row>
    <x:row r="179">
      <x:c r="A179" t="n">
        <x:v>178</x:v>
      </x:c>
      <x:c r="B179" s="14" t="n">
        <x:v>431040.1354727856</x:v>
      </x:c>
    </x:row>
    <x:row r="180">
      <x:c r="A180" t="n">
        <x:v>179</x:v>
      </x:c>
      <x:c r="B180" s="14" t="n">
        <x:v>532140.880627146</x:v>
      </x:c>
    </x:row>
    <x:row r="181">
      <x:c r="A181" t="n">
        <x:v>180</x:v>
      </x:c>
      <x:c r="B181" s="14" t="n">
        <x:v>495266.5447298902</x:v>
      </x:c>
    </x:row>
    <x:row r="182">
      <x:c r="A182" t="n">
        <x:v>181</x:v>
      </x:c>
      <x:c r="B182" s="14" t="n">
        <x:v>537749.387723708</x:v>
      </x:c>
    </x:row>
    <x:row r="183">
      <x:c r="A183" t="n">
        <x:v>182</x:v>
      </x:c>
      <x:c r="B183" s="14" t="n">
        <x:v>482270.3433684031</x:v>
      </x:c>
    </x:row>
    <x:row r="184">
      <x:c r="A184" t="n">
        <x:v>183</x:v>
      </x:c>
      <x:c r="B184" s="14" t="n">
        <x:v>452063.7856941794</x:v>
      </x:c>
    </x:row>
    <x:row r="185">
      <x:c r="A185" t="n">
        <x:v>184</x:v>
      </x:c>
      <x:c r="B185" s="14" t="n">
        <x:v>243498.34617101293</x:v>
      </x:c>
    </x:row>
    <x:row r="186">
      <x:c r="A186" t="n">
        <x:v>185</x:v>
      </x:c>
      <x:c r="B186" s="14" t="n">
        <x:v>407369.7054092789</x:v>
      </x:c>
    </x:row>
    <x:row r="187">
      <x:c r="A187" t="n">
        <x:v>186</x:v>
      </x:c>
      <x:c r="B187" s="14" t="n">
        <x:v>445494.762741072</x:v>
      </x:c>
    </x:row>
    <x:row r="188">
      <x:c r="A188" t="n">
        <x:v>187</x:v>
      </x:c>
      <x:c r="B188" s="14" t="n">
        <x:v>437447.4706560424</x:v>
      </x:c>
    </x:row>
    <x:row r="189">
      <x:c r="A189" t="n">
        <x:v>188</x:v>
      </x:c>
      <x:c r="B189" s="14" t="n">
        <x:v>443517.77160872857</x:v>
      </x:c>
    </x:row>
    <x:row r="190">
      <x:c r="A190" t="n">
        <x:v>189</x:v>
      </x:c>
      <x:c r="B190" s="14" t="n">
        <x:v>406832.8578465091</x:v>
      </x:c>
    </x:row>
    <x:row r="191">
      <x:c r="A191" t="n">
        <x:v>190</x:v>
      </x:c>
      <x:c r="B191" s="14" t="n">
        <x:v>534688.9177397351</x:v>
      </x:c>
    </x:row>
    <x:row r="192">
      <x:c r="A192" t="n">
        <x:v>191</x:v>
      </x:c>
      <x:c r="B192" s="14" t="n">
        <x:v>554574.7677210367</x:v>
      </x:c>
    </x:row>
    <x:row r="193">
      <x:c r="A193" t="n">
        <x:v>192</x:v>
      </x:c>
      <x:c r="B193" s="14" t="n">
        <x:v>443514.289426518</x:v>
      </x:c>
    </x:row>
    <x:row r="194">
      <x:c r="A194" t="n">
        <x:v>193</x:v>
      </x:c>
      <x:c r="B194" s="14" t="n">
        <x:v>316456.0453708375</x:v>
      </x:c>
    </x:row>
    <x:row r="195">
      <x:c r="A195" t="n">
        <x:v>194</x:v>
      </x:c>
      <x:c r="B195" s="14" t="n">
        <x:v>487058.340790952</x:v>
      </x:c>
    </x:row>
    <x:row r="196">
      <x:c r="A196" t="n">
        <x:v>195</x:v>
      </x:c>
      <x:c r="B196" s="14" t="n">
        <x:v>361258.8143782611</x:v>
      </x:c>
    </x:row>
    <x:row r="197">
      <x:c r="A197" t="n">
        <x:v>196</x:v>
      </x:c>
      <x:c r="B197" s="14" t="n">
        <x:v>542756.4098812646</x:v>
      </x:c>
    </x:row>
    <x:row r="198">
      <x:c r="A198" t="n">
        <x:v>197</x:v>
      </x:c>
      <x:c r="B198" s="14" t="n">
        <x:v>511659.9161013696</x:v>
      </x:c>
    </x:row>
    <x:row r="199">
      <x:c r="A199" t="n">
        <x:v>198</x:v>
      </x:c>
      <x:c r="B199" s="14" t="n">
        <x:v>648349.5321250324</x:v>
      </x:c>
    </x:row>
    <x:row r="200">
      <x:c r="A200" t="n">
        <x:v>199</x:v>
      </x:c>
      <x:c r="B200" s="14" t="n">
        <x:v>488520.44700784207</x:v>
      </x:c>
    </x:row>
    <x:row r="201">
      <x:c r="A201" t="n">
        <x:v>200</x:v>
      </x:c>
      <x:c r="B201" s="14" t="n">
        <x:v>504531.31166683487</x:v>
      </x:c>
    </x:row>
    <x:row r="202">
      <x:c r="A202" t="n">
        <x:v>201</x:v>
      </x:c>
      <x:c r="B202" s="14" t="n">
        <x:v>564564.9061149728</x:v>
      </x:c>
    </x:row>
    <x:row r="203">
      <x:c r="A203" t="n">
        <x:v>202</x:v>
      </x:c>
      <x:c r="B203" s="14" t="n">
        <x:v>334276.38402817276</x:v>
      </x:c>
    </x:row>
    <x:row r="204">
      <x:c r="A204" t="n">
        <x:v>203</x:v>
      </x:c>
      <x:c r="B204" s="14" t="n">
        <x:v>374732.33217495633</x:v>
      </x:c>
    </x:row>
    <x:row r="205">
      <x:c r="A205" t="n">
        <x:v>204</x:v>
      </x:c>
      <x:c r="B205" s="14" t="n">
        <x:v>250545.76815969902</x:v>
      </x:c>
    </x:row>
    <x:row r="206">
      <x:c r="A206" t="n">
        <x:v>205</x:v>
      </x:c>
      <x:c r="B206" s="14" t="n">
        <x:v>411979.57054769585</x:v>
      </x:c>
    </x:row>
    <x:row r="207">
      <x:c r="A207" t="n">
        <x:v>206</x:v>
      </x:c>
      <x:c r="B207" s="14" t="n">
        <x:v>490237.45187984343</x:v>
      </x:c>
    </x:row>
    <x:row r="208">
      <x:c r="A208" t="n">
        <x:v>207</x:v>
      </x:c>
      <x:c r="B208" s="14" t="n">
        <x:v>302684.91217487364</x:v>
      </x:c>
    </x:row>
    <x:row r="209">
      <x:c r="A209" t="n">
        <x:v>208</x:v>
      </x:c>
      <x:c r="B209" s="14" t="n">
        <x:v>436700.6862170442</x:v>
      </x:c>
    </x:row>
    <x:row r="210">
      <x:c r="A210" t="n">
        <x:v>209</x:v>
      </x:c>
      <x:c r="B210" s="14" t="n">
        <x:v>368887.89609447797</x:v>
      </x:c>
    </x:row>
    <x:row r="211">
      <x:c r="A211" t="n">
        <x:v>210</x:v>
      </x:c>
      <x:c r="B211" s="14" t="n">
        <x:v>347826.932346774</x:v>
      </x:c>
    </x:row>
    <x:row r="212">
      <x:c r="A212" t="n">
        <x:v>211</x:v>
      </x:c>
      <x:c r="B212" s="14" t="n">
        <x:v>407822.16777452774</x:v>
      </x:c>
    </x:row>
    <x:row r="213">
      <x:c r="A213" t="n">
        <x:v>212</x:v>
      </x:c>
      <x:c r="B213" s="14" t="n">
        <x:v>497378.27493806387</x:v>
      </x:c>
    </x:row>
    <x:row r="214">
      <x:c r="A214" t="n">
        <x:v>213</x:v>
      </x:c>
      <x:c r="B214" s="14" t="n">
        <x:v>559295.7658761584</x:v>
      </x:c>
    </x:row>
    <x:row r="215">
      <x:c r="A215" t="n">
        <x:v>214</x:v>
      </x:c>
      <x:c r="B215" s="14" t="n">
        <x:v>333823.08657260134</x:v>
      </x:c>
    </x:row>
    <x:row r="216">
      <x:c r="A216" t="n">
        <x:v>215</x:v>
      </x:c>
      <x:c r="B216" s="14" t="n">
        <x:v>420348.4335435363</x:v>
      </x:c>
    </x:row>
    <x:row r="217">
      <x:c r="A217" t="n">
        <x:v>216</x:v>
      </x:c>
      <x:c r="B217" s="14" t="n">
        <x:v>465319.8969593173</x:v>
      </x:c>
    </x:row>
    <x:row r="218">
      <x:c r="A218" t="n">
        <x:v>217</x:v>
      </x:c>
      <x:c r="B218" s="14" t="n">
        <x:v>515168.26861474756</x:v>
      </x:c>
    </x:row>
    <x:row r="219">
      <x:c r="A219" t="n">
        <x:v>218</x:v>
      </x:c>
      <x:c r="B219" s="14" t="n">
        <x:v>459847.2418833576</x:v>
      </x:c>
    </x:row>
    <x:row r="220">
      <x:c r="A220" t="n">
        <x:v>219</x:v>
      </x:c>
      <x:c r="B220" s="14" t="n">
        <x:v>332342.36602602876</x:v>
      </x:c>
    </x:row>
    <x:row r="221">
      <x:c r="A221" t="n">
        <x:v>220</x:v>
      </x:c>
      <x:c r="B221" s="14" t="n">
        <x:v>444516.09230715915</x:v>
      </x:c>
    </x:row>
    <x:row r="222">
      <x:c r="A222" t="n">
        <x:v>221</x:v>
      </x:c>
      <x:c r="B222" s="14" t="n">
        <x:v>507928.74494566664</x:v>
      </x:c>
    </x:row>
    <x:row r="223">
      <x:c r="A223" t="n">
        <x:v>222</x:v>
      </x:c>
      <x:c r="B223" s="14" t="n">
        <x:v>342377.99675900035</x:v>
      </x:c>
    </x:row>
    <x:row r="224">
      <x:c r="A224" t="n">
        <x:v>223</x:v>
      </x:c>
      <x:c r="B224" s="14" t="n">
        <x:v>410504.44644974475</x:v>
      </x:c>
    </x:row>
    <x:row r="225">
      <x:c r="A225" t="n">
        <x:v>224</x:v>
      </x:c>
      <x:c r="B225" s="14" t="n">
        <x:v>462370.81540764286</x:v>
      </x:c>
    </x:row>
    <x:row r="226">
      <x:c r="A226" t="n">
        <x:v>225</x:v>
      </x:c>
      <x:c r="B226" s="14" t="n">
        <x:v>445946.7796966299</x:v>
      </x:c>
    </x:row>
    <x:row r="227">
      <x:c r="A227" t="n">
        <x:v>226</x:v>
      </x:c>
      <x:c r="B227" s="14" t="n">
        <x:v>408966.8883771614</x:v>
      </x:c>
    </x:row>
    <x:row r="228">
      <x:c r="A228" t="n">
        <x:v>227</x:v>
      </x:c>
      <x:c r="B228" s="14" t="n">
        <x:v>274086.30503100436</x:v>
      </x:c>
    </x:row>
    <x:row r="229">
      <x:c r="A229" t="n">
        <x:v>228</x:v>
      </x:c>
      <x:c r="B229" s="14" t="n">
        <x:v>341122.70637238654</x:v>
      </x:c>
    </x:row>
    <x:row r="230">
      <x:c r="A230" t="n">
        <x:v>229</x:v>
      </x:c>
      <x:c r="B230" s="14" t="n">
        <x:v>479109.94464833924</x:v>
      </x:c>
    </x:row>
    <x:row r="231">
      <x:c r="A231" t="n">
        <x:v>230</x:v>
      </x:c>
      <x:c r="B231" s="14" t="n">
        <x:v>324033.39199613733</x:v>
      </x:c>
    </x:row>
    <x:row r="232">
      <x:c r="A232" t="n">
        <x:v>231</x:v>
      </x:c>
      <x:c r="B232" s="14" t="n">
        <x:v>434114.2648572745</x:v>
      </x:c>
    </x:row>
    <x:row r="233">
      <x:c r="A233" t="n">
        <x:v>232</x:v>
      </x:c>
      <x:c r="B233" s="14" t="n">
        <x:v>236437.33349331233</x:v>
      </x:c>
    </x:row>
    <x:row r="234">
      <x:c r="A234" t="n">
        <x:v>233</x:v>
      </x:c>
      <x:c r="B234" s="14" t="n">
        <x:v>294320.71523425035</x:v>
      </x:c>
    </x:row>
    <x:row r="235">
      <x:c r="A235" t="n">
        <x:v>234</x:v>
      </x:c>
      <x:c r="B235" s="14" t="n">
        <x:v>429562.75618920213</x:v>
      </x:c>
    </x:row>
    <x:row r="236">
      <x:c r="A236" t="n">
        <x:v>235</x:v>
      </x:c>
      <x:c r="B236" s="14" t="n">
        <x:v>398530.33836327755</x:v>
      </x:c>
    </x:row>
    <x:row r="237">
      <x:c r="A237" t="n">
        <x:v>236</x:v>
      </x:c>
      <x:c r="B237" s="14" t="n">
        <x:v>435500.5987517498</x:v>
      </x:c>
    </x:row>
    <x:row r="238">
      <x:c r="A238" t="n">
        <x:v>237</x:v>
      </x:c>
      <x:c r="B238" s="14" t="n">
        <x:v>610711.8508720256</x:v>
      </x:c>
    </x:row>
    <x:row r="239">
      <x:c r="A239" t="n">
        <x:v>238</x:v>
      </x:c>
      <x:c r="B239" s="14" t="n">
        <x:v>543316.5835103669</x:v>
      </x:c>
    </x:row>
    <x:row r="240">
      <x:c r="A240" t="n">
        <x:v>239</x:v>
      </x:c>
      <x:c r="B240" s="14" t="n">
        <x:v>591881.4206860273</x:v>
      </x:c>
    </x:row>
    <x:row r="241">
      <x:c r="A241" t="n">
        <x:v>240</x:v>
      </x:c>
      <x:c r="B241" s="14" t="n">
        <x:v>373157.28654888505</x:v>
      </x:c>
    </x:row>
    <x:row r="242">
      <x:c r="A242" t="n">
        <x:v>241</x:v>
      </x:c>
      <x:c r="B242" s="14" t="n">
        <x:v>502215.2501243999</x:v>
      </x:c>
    </x:row>
    <x:row r="243">
      <x:c r="A243" t="n">
        <x:v>242</x:v>
      </x:c>
      <x:c r="B243" s="14" t="n">
        <x:v>404190.7690226662</x:v>
      </x:c>
    </x:row>
    <x:row r="244">
      <x:c r="A244" t="n">
        <x:v>243</x:v>
      </x:c>
      <x:c r="B244" s="14" t="n">
        <x:v>393718.53837314947</x:v>
      </x:c>
    </x:row>
    <x:row r="245">
      <x:c r="A245" t="n">
        <x:v>244</x:v>
      </x:c>
      <x:c r="B245" s="14" t="n">
        <x:v>558628.8990358266</x:v>
      </x:c>
    </x:row>
    <x:row r="246">
      <x:c r="A246" t="n">
        <x:v>245</x:v>
      </x:c>
      <x:c r="B246" s="14" t="n">
        <x:v>382588.8216753044</x:v>
      </x:c>
    </x:row>
    <x:row r="247">
      <x:c r="A247" t="n">
        <x:v>246</x:v>
      </x:c>
      <x:c r="B247" s="14" t="n">
        <x:v>413587.9517647812</x:v>
      </x:c>
    </x:row>
    <x:row r="248">
      <x:c r="A248" t="n">
        <x:v>247</x:v>
      </x:c>
      <x:c r="B248" s="14" t="n">
        <x:v>338217.92648246157</x:v>
      </x:c>
    </x:row>
    <x:row r="249">
      <x:c r="A249" t="n">
        <x:v>248</x:v>
      </x:c>
      <x:c r="B249" s="14" t="n">
        <x:v>280014.0682072312</x:v>
      </x:c>
    </x:row>
    <x:row r="250">
      <x:c r="A250" t="n">
        <x:v>249</x:v>
      </x:c>
      <x:c r="B250" s="14" t="n">
        <x:v>462566.7308731974</x:v>
      </x:c>
    </x:row>
    <x:row r="251">
      <x:c r="A251" t="n">
        <x:v>250</x:v>
      </x:c>
      <x:c r="B251" s="14" t="n">
        <x:v>299742.2944248384</x:v>
      </x:c>
    </x:row>
    <x:row r="252">
      <x:c r="A252" t="n">
        <x:v>251</x:v>
      </x:c>
      <x:c r="B252" s="14" t="n">
        <x:v>332502.64877063636</x:v>
      </x:c>
    </x:row>
    <x:row r="253">
      <x:c r="A253" t="n">
        <x:v>252</x:v>
      </x:c>
      <x:c r="B253" s="14" t="n">
        <x:v>381203.94156951905</x:v>
      </x:c>
    </x:row>
    <x:row r="254">
      <x:c r="A254" t="n">
        <x:v>253</x:v>
      </x:c>
      <x:c r="B254" s="14" t="n">
        <x:v>344461.59379056137</x:v>
      </x:c>
    </x:row>
    <x:row r="255">
      <x:c r="A255" t="n">
        <x:v>254</x:v>
      </x:c>
      <x:c r="B255" s="14" t="n">
        <x:v>667158.4284291554</x:v>
      </x:c>
    </x:row>
    <x:row r="256">
      <x:c r="A256" t="n">
        <x:v>255</x:v>
      </x:c>
      <x:c r="B256" s="14" t="n">
        <x:v>421802.0624013752</x:v>
      </x:c>
    </x:row>
    <x:row r="257">
      <x:c r="A257" t="n">
        <x:v>256</x:v>
      </x:c>
      <x:c r="B257" s="14" t="n">
        <x:v>330529.6691830599</x:v>
      </x:c>
    </x:row>
    <x:row r="258">
      <x:c r="A258" t="n">
        <x:v>257</x:v>
      </x:c>
      <x:c r="B258" s="14" t="n">
        <x:v>333513.5096156391</x:v>
      </x:c>
    </x:row>
    <x:row r="259">
      <x:c r="A259" t="n">
        <x:v>258</x:v>
      </x:c>
      <x:c r="B259" s="14" t="n">
        <x:v>501964.23032811977</x:v>
      </x:c>
    </x:row>
    <x:row r="260">
      <x:c r="A260" t="n">
        <x:v>259</x:v>
      </x:c>
      <x:c r="B260" s="14" t="n">
        <x:v>359477.32821489614</x:v>
      </x:c>
    </x:row>
    <x:row r="261">
      <x:c r="A261" t="n">
        <x:v>260</x:v>
      </x:c>
      <x:c r="B261" s="14" t="n">
        <x:v>450061.0204612123</x:v>
      </x:c>
    </x:row>
    <x:row r="262">
      <x:c r="A262" t="n">
        <x:v>261</x:v>
      </x:c>
      <x:c r="B262" s="14" t="n">
        <x:v>397855.11364652525</x:v>
      </x:c>
    </x:row>
    <x:row r="263">
      <x:c r="A263" t="n">
        <x:v>262</x:v>
      </x:c>
      <x:c r="B263" s="14" t="n">
        <x:v>428648.52568922663</x:v>
      </x:c>
    </x:row>
    <x:row r="264">
      <x:c r="A264" t="n">
        <x:v>263</x:v>
      </x:c>
      <x:c r="B264" s="14" t="n">
        <x:v>321647.3423226834</x:v>
      </x:c>
    </x:row>
    <x:row r="265">
      <x:c r="A265" t="n">
        <x:v>264</x:v>
      </x:c>
      <x:c r="B265" s="14" t="n">
        <x:v>371846.51715238875</x:v>
      </x:c>
    </x:row>
    <x:row r="266">
      <x:c r="A266" t="n">
        <x:v>265</x:v>
      </x:c>
      <x:c r="B266" s="14" t="n">
        <x:v>400577.0875877783</x:v>
      </x:c>
    </x:row>
    <x:row r="267">
      <x:c r="A267" t="n">
        <x:v>266</x:v>
      </x:c>
      <x:c r="B267" s="14" t="n">
        <x:v>497640.6805182686</x:v>
      </x:c>
    </x:row>
    <x:row r="268">
      <x:c r="A268" t="n">
        <x:v>267</x:v>
      </x:c>
      <x:c r="B268" s="14" t="n">
        <x:v>376613.5978365206</x:v>
      </x:c>
    </x:row>
    <x:row r="269">
      <x:c r="A269" t="n">
        <x:v>268</x:v>
      </x:c>
      <x:c r="B269" s="14" t="n">
        <x:v>281724.474845527</x:v>
      </x:c>
    </x:row>
    <x:row r="270">
      <x:c r="A270" t="n">
        <x:v>269</x:v>
      </x:c>
      <x:c r="B270" s="14" t="n">
        <x:v>489419.13660810405</x:v>
      </x:c>
    </x:row>
    <x:row r="271">
      <x:c r="A271" t="n">
        <x:v>270</x:v>
      </x:c>
      <x:c r="B271" s="14" t="n">
        <x:v>433182.4850202379</x:v>
      </x:c>
    </x:row>
    <x:row r="272">
      <x:c r="A272" t="n">
        <x:v>271</x:v>
      </x:c>
      <x:c r="B272" s="14" t="n">
        <x:v>491695.8395967001</x:v>
      </x:c>
    </x:row>
    <x:row r="273">
      <x:c r="A273" t="n">
        <x:v>272</x:v>
      </x:c>
      <x:c r="B273" s="14" t="n">
        <x:v>451279.8169121654</x:v>
      </x:c>
    </x:row>
    <x:row r="274">
      <x:c r="A274" t="n">
        <x:v>273</x:v>
      </x:c>
      <x:c r="B274" s="14" t="n">
        <x:v>507109.10112264915</x:v>
      </x:c>
    </x:row>
    <x:row r="275">
      <x:c r="A275" t="n">
        <x:v>274</x:v>
      </x:c>
      <x:c r="B275" s="14" t="n">
        <x:v>456660.9149011041</x:v>
      </x:c>
    </x:row>
    <x:row r="276">
      <x:c r="A276" t="n">
        <x:v>275</x:v>
      </x:c>
      <x:c r="B276" s="14" t="n">
        <x:v>540885.0509787296</x:v>
      </x:c>
    </x:row>
    <x:row r="277">
      <x:c r="A277" t="n">
        <x:v>276</x:v>
      </x:c>
      <x:c r="B277" s="14" t="n">
        <x:v>290036.13382900984</x:v>
      </x:c>
    </x:row>
    <x:row r="278">
      <x:c r="A278" t="n">
        <x:v>277</x:v>
      </x:c>
      <x:c r="B278" s="14" t="n">
        <x:v>358423.0297212032</x:v>
      </x:c>
    </x:row>
    <x:row r="279">
      <x:c r="A279" t="n">
        <x:v>278</x:v>
      </x:c>
      <x:c r="B279" s="14" t="n">
        <x:v>277321.67017127597</x:v>
      </x:c>
    </x:row>
    <x:row r="280">
      <x:c r="A280" t="n">
        <x:v>279</x:v>
      </x:c>
      <x:c r="B280" s="14" t="n">
        <x:v>419599.090922977</x:v>
      </x:c>
    </x:row>
    <x:row r="281">
      <x:c r="A281" t="n">
        <x:v>280</x:v>
      </x:c>
      <x:c r="B281" s="14" t="n">
        <x:v>423108.1311968473</x:v>
      </x:c>
    </x:row>
    <x:row r="282">
      <x:c r="A282" t="n">
        <x:v>281</x:v>
      </x:c>
      <x:c r="B282" s="14" t="n">
        <x:v>568190.497361364</x:v>
      </x:c>
    </x:row>
    <x:row r="283">
      <x:c r="A283" t="n">
        <x:v>282</x:v>
      </x:c>
      <x:c r="B283" s="14" t="n">
        <x:v>457260.58297090296</x:v>
      </x:c>
    </x:row>
    <x:row r="284">
      <x:c r="A284" t="n">
        <x:v>283</x:v>
      </x:c>
      <x:c r="B284" s="14" t="n">
        <x:v>526422.208103621</x:v>
      </x:c>
    </x:row>
    <x:row r="285">
      <x:c r="A285" t="n">
        <x:v>284</x:v>
      </x:c>
      <x:c r="B285" s="14" t="n">
        <x:v>415290.8125942491</x:v>
      </x:c>
    </x:row>
    <x:row r="286">
      <x:c r="A286" t="n">
        <x:v>285</x:v>
      </x:c>
      <x:c r="B286" s="14" t="n">
        <x:v>269388.39060732827</x:v>
      </x:c>
    </x:row>
    <x:row r="287">
      <x:c r="A287" t="n">
        <x:v>286</x:v>
      </x:c>
      <x:c r="B287" s="14" t="n">
        <x:v>565335.6308446105</x:v>
      </x:c>
    </x:row>
    <x:row r="288">
      <x:c r="A288" t="n">
        <x:v>287</x:v>
      </x:c>
      <x:c r="B288" s="14" t="n">
        <x:v>403489.52722235286</x:v>
      </x:c>
    </x:row>
    <x:row r="289">
      <x:c r="A289" t="n">
        <x:v>288</x:v>
      </x:c>
      <x:c r="B289" s="14" t="n">
        <x:v>590485.0751747105</x:v>
      </x:c>
    </x:row>
    <x:row r="290">
      <x:c r="A290" t="n">
        <x:v>289</x:v>
      </x:c>
      <x:c r="B290" s="14" t="n">
        <x:v>374857.04346586886</x:v>
      </x:c>
    </x:row>
    <x:row r="291">
      <x:c r="A291" t="n">
        <x:v>290</x:v>
      </x:c>
      <x:c r="B291" s="14" t="n">
        <x:v>424981.21692525427</x:v>
      </x:c>
    </x:row>
    <x:row r="292">
      <x:c r="A292" t="n">
        <x:v>291</x:v>
      </x:c>
      <x:c r="B292" s="14" t="n">
        <x:v>417354.9003741016</x:v>
      </x:c>
    </x:row>
    <x:row r="293">
      <x:c r="A293" t="n">
        <x:v>292</x:v>
      </x:c>
      <x:c r="B293" s="14" t="n">
        <x:v>348201.80706665345</x:v>
      </x:c>
    </x:row>
    <x:row r="294">
      <x:c r="A294" t="n">
        <x:v>293</x:v>
      </x:c>
      <x:c r="B294" s="14" t="n">
        <x:v>382986.999327978</x:v>
      </x:c>
    </x:row>
    <x:row r="295">
      <x:c r="A295" t="n">
        <x:v>294</x:v>
      </x:c>
      <x:c r="B295" s="14" t="n">
        <x:v>485996.6999749593</x:v>
      </x:c>
    </x:row>
    <x:row r="296">
      <x:c r="A296" t="n">
        <x:v>295</x:v>
      </x:c>
      <x:c r="B296" s="14" t="n">
        <x:v>494809.55244556314</x:v>
      </x:c>
    </x:row>
    <x:row r="297">
      <x:c r="A297" t="n">
        <x:v>296</x:v>
      </x:c>
      <x:c r="B297" s="14" t="n">
        <x:v>375590.53559576743</x:v>
      </x:c>
    </x:row>
    <x:row r="298">
      <x:c r="A298" t="n">
        <x:v>297</x:v>
      </x:c>
      <x:c r="B298" s="14" t="n">
        <x:v>355425.95356644504</x:v>
      </x:c>
    </x:row>
    <x:row r="299">
      <x:c r="A299" t="n">
        <x:v>298</x:v>
      </x:c>
      <x:c r="B299" s="14" t="n">
        <x:v>327825.4543743742</x:v>
      </x:c>
    </x:row>
    <x:row r="300">
      <x:c r="A300" t="n">
        <x:v>299</x:v>
      </x:c>
      <x:c r="B300" s="14" t="n">
        <x:v>366480.2019252182</x:v>
      </x:c>
    </x:row>
    <x:row r="301">
      <x:c r="A301" t="n">
        <x:v>300</x:v>
      </x:c>
      <x:c r="B301" s="14" t="n">
        <x:v>449389.6103763518</x:v>
      </x:c>
    </x:row>
    <x:row r="302">
      <x:c r="A302" t="n">
        <x:v>301</x:v>
      </x:c>
      <x:c r="B302" s="14" t="n">
        <x:v>232203.60928099192</x:v>
      </x:c>
    </x:row>
    <x:row r="303">
      <x:c r="A303" t="n">
        <x:v>302</x:v>
      </x:c>
      <x:c r="B303" s="14" t="n">
        <x:v>501223.64048114774</x:v>
      </x:c>
    </x:row>
    <x:row r="304">
      <x:c r="A304" t="n">
        <x:v>303</x:v>
      </x:c>
      <x:c r="B304" s="14" t="n">
        <x:v>376669.05401578697</x:v>
      </x:c>
    </x:row>
    <x:row r="305">
      <x:c r="A305" t="n">
        <x:v>304</x:v>
      </x:c>
      <x:c r="B305" s="14" t="n">
        <x:v>496230.675888857</x:v>
      </x:c>
    </x:row>
    <x:row r="306">
      <x:c r="A306" t="n">
        <x:v>305</x:v>
      </x:c>
      <x:c r="B306" s="14" t="n">
        <x:v>324635.3390235897</x:v>
      </x:c>
    </x:row>
    <x:row r="307">
      <x:c r="A307" t="n">
        <x:v>306</x:v>
      </x:c>
      <x:c r="B307" s="14" t="n">
        <x:v>528414.663812485</x:v>
      </x:c>
    </x:row>
    <x:row r="308">
      <x:c r="A308" t="n">
        <x:v>307</x:v>
      </x:c>
      <x:c r="B308" s="14" t="n">
        <x:v>299113.2491656802</x:v>
      </x:c>
    </x:row>
    <x:row r="309">
      <x:c r="A309" t="n">
        <x:v>308</x:v>
      </x:c>
      <x:c r="B309" s="14" t="n">
        <x:v>395890.70324281236</x:v>
      </x:c>
    </x:row>
    <x:row r="310">
      <x:c r="A310" t="n">
        <x:v>309</x:v>
      </x:c>
      <x:c r="B310" s="14" t="n">
        <x:v>395939.9460943095</x:v>
      </x:c>
    </x:row>
    <x:row r="311">
      <x:c r="A311" t="n">
        <x:v>310</x:v>
      </x:c>
      <x:c r="B311" s="14" t="n">
        <x:v>529311.0543298061</x:v>
      </x:c>
    </x:row>
    <x:row r="312">
      <x:c r="A312" t="n">
        <x:v>311</x:v>
      </x:c>
      <x:c r="B312" s="14" t="n">
        <x:v>489204.2860426818</x:v>
      </x:c>
    </x:row>
    <x:row r="313">
      <x:c r="A313" t="n">
        <x:v>312</x:v>
      </x:c>
      <x:c r="B313" s="14" t="n">
        <x:v>319178.46072842577</x:v>
      </x:c>
    </x:row>
    <x:row r="314">
      <x:c r="A314" t="n">
        <x:v>313</x:v>
      </x:c>
      <x:c r="B314" s="14" t="n">
        <x:v>300266.87360071094</x:v>
      </x:c>
    </x:row>
    <x:row r="315">
      <x:c r="A315" t="n">
        <x:v>314</x:v>
      </x:c>
      <x:c r="B315" s="14" t="n">
        <x:v>303980.1864238154</x:v>
      </x:c>
    </x:row>
    <x:row r="316">
      <x:c r="A316" t="n">
        <x:v>315</x:v>
      </x:c>
      <x:c r="B316" s="14" t="n">
        <x:v>551760.384048172</x:v>
      </x:c>
    </x:row>
    <x:row r="317">
      <x:c r="A317" t="n">
        <x:v>316</x:v>
      </x:c>
      <x:c r="B317" s="14" t="n">
        <x:v>279519.9822635617</x:v>
      </x:c>
    </x:row>
    <x:row r="318">
      <x:c r="A318" t="n">
        <x:v>317</x:v>
      </x:c>
      <x:c r="B318" s="14" t="n">
        <x:v>427261.22646056785</x:v>
      </x:c>
    </x:row>
    <x:row r="319">
      <x:c r="A319" t="n">
        <x:v>318</x:v>
      </x:c>
      <x:c r="B319" s="14" t="n">
        <x:v>523565.8459706856</x:v>
      </x:c>
    </x:row>
    <x:row r="320">
      <x:c r="A320" t="n">
        <x:v>319</x:v>
      </x:c>
      <x:c r="B320" s="14" t="n">
        <x:v>538697.0515472728</x:v>
      </x:c>
    </x:row>
    <x:row r="321">
      <x:c r="A321" t="n">
        <x:v>320</x:v>
      </x:c>
      <x:c r="B321" s="14" t="n">
        <x:v>492747.53026169096</x:v>
      </x:c>
    </x:row>
    <x:row r="322">
      <x:c r="A322" t="n">
        <x:v>321</x:v>
      </x:c>
      <x:c r="B322" s="14" t="n">
        <x:v>503426.626472192</x:v>
      </x:c>
    </x:row>
    <x:row r="323">
      <x:c r="A323" t="n">
        <x:v>322</x:v>
      </x:c>
      <x:c r="B323" s="14" t="n">
        <x:v>377471.55420809553</x:v>
      </x:c>
    </x:row>
    <x:row r="324">
      <x:c r="A324" t="n">
        <x:v>323</x:v>
      </x:c>
      <x:c r="B324" s="14" t="n">
        <x:v>454886.35111194936</x:v>
      </x:c>
    </x:row>
    <x:row r="325">
      <x:c r="A325" t="n">
        <x:v>324</x:v>
      </x:c>
      <x:c r="B325" s="14" t="n">
        <x:v>611069.2449247772</x:v>
      </x:c>
    </x:row>
    <x:row r="326">
      <x:c r="A326" t="n">
        <x:v>325</x:v>
      </x:c>
      <x:c r="B326" s="14" t="n">
        <x:v>356407.9962553558</x:v>
      </x:c>
    </x:row>
    <x:row r="327">
      <x:c r="A327" t="n">
        <x:v>326</x:v>
      </x:c>
      <x:c r="B327" s="14" t="n">
        <x:v>290719.4389667283</x:v>
      </x:c>
    </x:row>
    <x:row r="328">
      <x:c r="A328" t="n">
        <x:v>327</x:v>
      </x:c>
      <x:c r="B328" s="14" t="n">
        <x:v>346096.0734303597</x:v>
      </x:c>
    </x:row>
    <x:row r="329">
      <x:c r="A329" t="n">
        <x:v>328</x:v>
      </x:c>
      <x:c r="B329" s="14" t="n">
        <x:v>528841.7584557445</x:v>
      </x:c>
    </x:row>
    <x:row r="330">
      <x:c r="A330" t="n">
        <x:v>329</x:v>
      </x:c>
      <x:c r="B330" s="14" t="n">
        <x:v>356432.2521568081</x:v>
      </x:c>
    </x:row>
    <x:row r="331">
      <x:c r="A331" t="n">
        <x:v>330</x:v>
      </x:c>
      <x:c r="B331" s="14" t="n">
        <x:v>441988.75892161496</x:v>
      </x:c>
    </x:row>
    <x:row r="332">
      <x:c r="A332" t="n">
        <x:v>331</x:v>
      </x:c>
      <x:c r="B332" s="14" t="n">
        <x:v>409007.1578911905</x:v>
      </x:c>
    </x:row>
    <x:row r="333">
      <x:c r="A333" t="n">
        <x:v>332</x:v>
      </x:c>
      <x:c r="B333" s="14" t="n">
        <x:v>400501.19071715383</x:v>
      </x:c>
    </x:row>
    <x:row r="334">
      <x:c r="A334" t="n">
        <x:v>333</x:v>
      </x:c>
      <x:c r="B334" s="14" t="n">
        <x:v>362310.2024908369</x:v>
      </x:c>
    </x:row>
    <x:row r="335">
      <x:c r="A335" t="n">
        <x:v>334</x:v>
      </x:c>
      <x:c r="B335" s="14" t="n">
        <x:v>309552.8915371552</x:v>
      </x:c>
    </x:row>
    <x:row r="336">
      <x:c r="A336" t="n">
        <x:v>335</x:v>
      </x:c>
      <x:c r="B336" s="14" t="n">
        <x:v>433934.2716053692</x:v>
      </x:c>
    </x:row>
    <x:row r="337">
      <x:c r="A337" t="n">
        <x:v>336</x:v>
      </x:c>
      <x:c r="B337" s="14" t="n">
        <x:v>602596.9662425591</x:v>
      </x:c>
    </x:row>
    <x:row r="338">
      <x:c r="A338" t="n">
        <x:v>337</x:v>
      </x:c>
      <x:c r="B338" s="14" t="n">
        <x:v>297592.00768477906</x:v>
      </x:c>
    </x:row>
    <x:row r="339">
      <x:c r="A339" t="n">
        <x:v>338</x:v>
      </x:c>
      <x:c r="B339" s="14" t="n">
        <x:v>464238.52053425764</x:v>
      </x:c>
    </x:row>
    <x:row r="340">
      <x:c r="A340" t="n">
        <x:v>339</x:v>
      </x:c>
      <x:c r="B340" s="14" t="n">
        <x:v>387993.73681296763</x:v>
      </x:c>
    </x:row>
    <x:row r="341">
      <x:c r="A341" t="n">
        <x:v>340</x:v>
      </x:c>
      <x:c r="B341" s="14" t="n">
        <x:v>322767.2303093075</x:v>
      </x:c>
    </x:row>
    <x:row r="342">
      <x:c r="A342" t="n">
        <x:v>341</x:v>
      </x:c>
      <x:c r="B342" s="14" t="n">
        <x:v>623075.7924698257</x:v>
      </x:c>
    </x:row>
    <x:row r="343">
      <x:c r="A343" t="n">
        <x:v>342</x:v>
      </x:c>
      <x:c r="B343" s="14" t="n">
        <x:v>515694.35630932765</x:v>
      </x:c>
    </x:row>
    <x:row r="344">
      <x:c r="A344" t="n">
        <x:v>343</x:v>
      </x:c>
      <x:c r="B344" s="14" t="n">
        <x:v>557580.3230229971</x:v>
      </x:c>
    </x:row>
    <x:row r="345">
      <x:c r="A345" t="n">
        <x:v>344</x:v>
      </x:c>
      <x:c r="B345" s="14" t="n">
        <x:v>593489.8883978798</x:v>
      </x:c>
    </x:row>
    <x:row r="346">
      <x:c r="A346" t="n">
        <x:v>345</x:v>
      </x:c>
      <x:c r="B346" s="14" t="n">
        <x:v>203732.41016661536</x:v>
      </x:c>
    </x:row>
    <x:row r="347">
      <x:c r="A347" t="n">
        <x:v>346</x:v>
      </x:c>
      <x:c r="B347" s="14" t="n">
        <x:v>459807.0073281184</x:v>
      </x:c>
    </x:row>
    <x:row r="348">
      <x:c r="A348" t="n">
        <x:v>347</x:v>
      </x:c>
      <x:c r="B348" s="14" t="n">
        <x:v>469572.2092463361</x:v>
      </x:c>
    </x:row>
    <x:row r="349">
      <x:c r="A349" t="n">
        <x:v>348</x:v>
      </x:c>
      <x:c r="B349" s="14" t="n">
        <x:v>327273.73244609457</x:v>
      </x:c>
    </x:row>
    <x:row r="350">
      <x:c r="A350" t="n">
        <x:v>349</x:v>
      </x:c>
      <x:c r="B350" s="14" t="n">
        <x:v>326933.20022430905</x:v>
      </x:c>
    </x:row>
    <x:row r="351">
      <x:c r="A351" t="n">
        <x:v>350</x:v>
      </x:c>
      <x:c r="B351" s="14" t="n">
        <x:v>601289.7373634272</x:v>
      </x:c>
    </x:row>
    <x:row r="352">
      <x:c r="A352" t="n">
        <x:v>351</x:v>
      </x:c>
      <x:c r="B352" s="14" t="n">
        <x:v>385001.08861996786</x:v>
      </x:c>
    </x:row>
    <x:row r="353">
      <x:c r="A353" t="n">
        <x:v>352</x:v>
      </x:c>
      <x:c r="B353" s="14" t="n">
        <x:v>470831.11740477505</x:v>
      </x:c>
    </x:row>
    <x:row r="354">
      <x:c r="A354" t="n">
        <x:v>353</x:v>
      </x:c>
      <x:c r="B354" s="14" t="n">
        <x:v>420463.9200797462</x:v>
      </x:c>
    </x:row>
    <x:row r="355">
      <x:c r="A355" t="n">
        <x:v>354</x:v>
      </x:c>
      <x:c r="B355" s="14" t="n">
        <x:v>532375.9693567554</x:v>
      </x:c>
    </x:row>
    <x:row r="356">
      <x:c r="A356" t="n">
        <x:v>355</x:v>
      </x:c>
      <x:c r="B356" s="14" t="n">
        <x:v>312046.0771500109</x:v>
      </x:c>
    </x:row>
    <x:row r="357">
      <x:c r="A357" t="n">
        <x:v>356</x:v>
      </x:c>
      <x:c r="B357" s="14" t="n">
        <x:v>431252.5847716448</x:v>
      </x:c>
    </x:row>
    <x:row r="358">
      <x:c r="A358" t="n">
        <x:v>357</x:v>
      </x:c>
      <x:c r="B358" s="14" t="n">
        <x:v>420404.2388767412</x:v>
      </x:c>
    </x:row>
    <x:row r="359">
      <x:c r="A359" t="n">
        <x:v>358</x:v>
      </x:c>
      <x:c r="B359" s="14" t="n">
        <x:v>434750.1599085568</x:v>
      </x:c>
    </x:row>
    <x:row r="360">
      <x:c r="A360" t="n">
        <x:v>359</x:v>
      </x:c>
      <x:c r="B360" s="14" t="n">
        <x:v>393616.29560541734</x:v>
      </x:c>
    </x:row>
    <x:row r="361">
      <x:c r="A361" t="n">
        <x:v>360</x:v>
      </x:c>
      <x:c r="B361" s="14" t="n">
        <x:v>434174.7421337718</x:v>
      </x:c>
    </x:row>
    <x:row r="362">
      <x:c r="A362" t="n">
        <x:v>361</x:v>
      </x:c>
      <x:c r="B362" s="14" t="n">
        <x:v>418428.29069199954</x:v>
      </x:c>
    </x:row>
    <x:row r="363">
      <x:c r="A363" t="n">
        <x:v>362</x:v>
      </x:c>
      <x:c r="B363" s="14" t="n">
        <x:v>429340.96318387496</x:v>
      </x:c>
    </x:row>
    <x:row r="364">
      <x:c r="A364" t="n">
        <x:v>363</x:v>
      </x:c>
      <x:c r="B364" s="14" t="n">
        <x:v>697838.1862870781</x:v>
      </x:c>
    </x:row>
    <x:row r="365">
      <x:c r="A365" t="n">
        <x:v>364</x:v>
      </x:c>
      <x:c r="B365" s="14" t="n">
        <x:v>496484.52345642756</x:v>
      </x:c>
    </x:row>
    <x:row r="366">
      <x:c r="A366" t="n">
        <x:v>365</x:v>
      </x:c>
      <x:c r="B366" s="14" t="n">
        <x:v>325970.49567154294</x:v>
      </x:c>
    </x:row>
    <x:row r="367">
      <x:c r="A367" t="n">
        <x:v>366</x:v>
      </x:c>
      <x:c r="B367" s="14" t="n">
        <x:v>491202.7507759491</x:v>
      </x:c>
    </x:row>
    <x:row r="368">
      <x:c r="A368" t="n">
        <x:v>367</x:v>
      </x:c>
      <x:c r="B368" s="14" t="n">
        <x:v>588536.5615322541</x:v>
      </x:c>
    </x:row>
    <x:row r="369">
      <x:c r="A369" t="n">
        <x:v>368</x:v>
      </x:c>
      <x:c r="B369" s="14" t="n">
        <x:v>347809.54241172824</x:v>
      </x:c>
    </x:row>
    <x:row r="370">
      <x:c r="A370" t="n">
        <x:v>369</x:v>
      </x:c>
      <x:c r="B370" s="14" t="n">
        <x:v>656315.3803535806</x:v>
      </x:c>
    </x:row>
    <x:row r="371">
      <x:c r="A371" t="n">
        <x:v>370</x:v>
      </x:c>
      <x:c r="B371" s="14" t="n">
        <x:v>375224.64774906513</x:v>
      </x:c>
    </x:row>
    <x:row r="372">
      <x:c r="A372" t="n">
        <x:v>371</x:v>
      </x:c>
      <x:c r="B372" s="14" t="n">
        <x:v>423956.78545058443</x:v>
      </x:c>
    </x:row>
    <x:row r="373">
      <x:c r="A373" t="n">
        <x:v>372</x:v>
      </x:c>
      <x:c r="B373" s="14" t="n">
        <x:v>360323.5593176793</x:v>
      </x:c>
    </x:row>
    <x:row r="374">
      <x:c r="A374" t="n">
        <x:v>373</x:v>
      </x:c>
      <x:c r="B374" s="14" t="n">
        <x:v>378568.55766304873</x:v>
      </x:c>
    </x:row>
    <x:row r="375">
      <x:c r="A375" t="n">
        <x:v>374</x:v>
      </x:c>
      <x:c r="B375" s="14" t="n">
        <x:v>389042.36013445794</x:v>
      </x:c>
    </x:row>
    <x:row r="376">
      <x:c r="A376" t="n">
        <x:v>375</x:v>
      </x:c>
      <x:c r="B376" s="14" t="n">
        <x:v>452054.4874714426</x:v>
      </x:c>
    </x:row>
    <x:row r="377">
      <x:c r="A377" t="n">
        <x:v>376</x:v>
      </x:c>
      <x:c r="B377" s="14" t="n">
        <x:v>467257.58882846206</x:v>
      </x:c>
    </x:row>
    <x:row r="378">
      <x:c r="A378" t="n">
        <x:v>377</x:v>
      </x:c>
      <x:c r="B378" s="14" t="n">
        <x:v>409934.13381804</x:v>
      </x:c>
    </x:row>
    <x:row r="379">
      <x:c r="A379" t="n">
        <x:v>378</x:v>
      </x:c>
      <x:c r="B379" s="14" t="n">
        <x:v>423761.06501376093</x:v>
      </x:c>
    </x:row>
    <x:row r="380">
      <x:c r="A380" t="n">
        <x:v>379</x:v>
      </x:c>
      <x:c r="B380" s="14" t="n">
        <x:v>518574.85278991767</x:v>
      </x:c>
    </x:row>
    <x:row r="381">
      <x:c r="A381" t="n">
        <x:v>380</x:v>
      </x:c>
      <x:c r="B381" s="14" t="n">
        <x:v>554529.3049423305</x:v>
      </x:c>
    </x:row>
    <x:row r="382">
      <x:c r="A382" t="n">
        <x:v>381</x:v>
      </x:c>
      <x:c r="B382" s="14" t="n">
        <x:v>460789.7634255308</x:v>
      </x:c>
    </x:row>
    <x:row r="383">
      <x:c r="A383" t="n">
        <x:v>382</x:v>
      </x:c>
      <x:c r="B383" s="14" t="n">
        <x:v>405948.34051127615</x:v>
      </x:c>
    </x:row>
    <x:row r="384">
      <x:c r="A384" t="n">
        <x:v>383</x:v>
      </x:c>
      <x:c r="B384" s="14" t="n">
        <x:v>361601.19597609626</x:v>
      </x:c>
    </x:row>
    <x:row r="385">
      <x:c r="A385" t="n">
        <x:v>384</x:v>
      </x:c>
      <x:c r="B385" s="14" t="n">
        <x:v>382719.90191145375</x:v>
      </x:c>
    </x:row>
    <x:row r="386">
      <x:c r="A386" t="n">
        <x:v>385</x:v>
      </x:c>
      <x:c r="B386" s="14" t="n">
        <x:v>348663.347988888</x:v>
      </x:c>
    </x:row>
    <x:row r="387">
      <x:c r="A387" t="n">
        <x:v>386</x:v>
      </x:c>
      <x:c r="B387" s="14" t="n">
        <x:v>394934.6309795864</x:v>
      </x:c>
    </x:row>
    <x:row r="388">
      <x:c r="A388" t="n">
        <x:v>387</x:v>
      </x:c>
      <x:c r="B388" s="14" t="n">
        <x:v>470556.3628588897</x:v>
      </x:c>
    </x:row>
    <x:row r="389">
      <x:c r="A389" t="n">
        <x:v>388</x:v>
      </x:c>
      <x:c r="B389" s="14" t="n">
        <x:v>532571.1191252796</x:v>
      </x:c>
    </x:row>
    <x:row r="390">
      <x:c r="A390" t="n">
        <x:v>389</x:v>
      </x:c>
      <x:c r="B390" s="14" t="n">
        <x:v>366703.8172490669</x:v>
      </x:c>
    </x:row>
    <x:row r="391">
      <x:c r="A391" t="n">
        <x:v>390</x:v>
      </x:c>
      <x:c r="B391" s="14" t="n">
        <x:v>436475.7580128533</x:v>
      </x:c>
    </x:row>
    <x:row r="392">
      <x:c r="A392" t="n">
        <x:v>391</x:v>
      </x:c>
      <x:c r="B392" s="14" t="n">
        <x:v>377299.9402399683</x:v>
      </x:c>
    </x:row>
    <x:row r="393">
      <x:c r="A393" t="n">
        <x:v>392</x:v>
      </x:c>
      <x:c r="B393" s="14" t="n">
        <x:v>439379.735301924</x:v>
      </x:c>
    </x:row>
    <x:row r="394">
      <x:c r="A394" t="n">
        <x:v>393</x:v>
      </x:c>
      <x:c r="B394" s="14" t="n">
        <x:v>502022.10604425095</x:v>
      </x:c>
    </x:row>
    <x:row r="395">
      <x:c r="A395" t="n">
        <x:v>394</x:v>
      </x:c>
      <x:c r="B395" s="14" t="n">
        <x:v>333364.80154049693</x:v>
      </x:c>
    </x:row>
    <x:row r="396">
      <x:c r="A396" t="n">
        <x:v>395</x:v>
      </x:c>
      <x:c r="B396" s="14" t="n">
        <x:v>376241.50304914516</x:v>
      </x:c>
    </x:row>
    <x:row r="397">
      <x:c r="A397" t="n">
        <x:v>396</x:v>
      </x:c>
      <x:c r="B397" s="14" t="n">
        <x:v>455530.8017260877</x:v>
      </x:c>
    </x:row>
    <x:row r="398">
      <x:c r="A398" t="n">
        <x:v>397</x:v>
      </x:c>
      <x:c r="B398" s="14" t="n">
        <x:v>417605.2230370756</x:v>
      </x:c>
    </x:row>
    <x:row r="399">
      <x:c r="A399" t="n">
        <x:v>398</x:v>
      </x:c>
      <x:c r="B399" s="14" t="n">
        <x:v>524853.5560830072</x:v>
      </x:c>
    </x:row>
    <x:row r="400">
      <x:c r="A400" t="n">
        <x:v>399</x:v>
      </x:c>
      <x:c r="B400" s="14" t="n">
        <x:v>400518.3878140625</x:v>
      </x:c>
    </x:row>
    <x:row r="401">
      <x:c r="A401" t="n">
        <x:v>400</x:v>
      </x:c>
      <x:c r="B401" s="14" t="n">
        <x:v>826795.7212788928</x:v>
      </x:c>
    </x:row>
    <x:row r="402">
      <x:c r="A402" t="n">
        <x:v>401</x:v>
      </x:c>
      <x:c r="B402" s="14" t="n">
        <x:v>309868.3092661031</x:v>
      </x:c>
    </x:row>
    <x:row r="403">
      <x:c r="A403" t="n">
        <x:v>402</x:v>
      </x:c>
      <x:c r="B403" s="14" t="n">
        <x:v>437444.4142868834</x:v>
      </x:c>
    </x:row>
    <x:row r="404">
      <x:c r="A404" t="n">
        <x:v>403</x:v>
      </x:c>
      <x:c r="B404" s="14" t="n">
        <x:v>400301.77600464865</x:v>
      </x:c>
    </x:row>
    <x:row r="405">
      <x:c r="A405" t="n">
        <x:v>404</x:v>
      </x:c>
      <x:c r="B405" s="14" t="n">
        <x:v>290032.8757065242</x:v>
      </x:c>
    </x:row>
    <x:row r="406">
      <x:c r="A406" t="n">
        <x:v>405</x:v>
      </x:c>
      <x:c r="B406" s="14" t="n">
        <x:v>574333.5989273508</x:v>
      </x:c>
    </x:row>
    <x:row r="407">
      <x:c r="A407" t="n">
        <x:v>406</x:v>
      </x:c>
      <x:c r="B407" s="14" t="n">
        <x:v>422662.62446811015</x:v>
      </x:c>
    </x:row>
    <x:row r="408">
      <x:c r="A408" t="n">
        <x:v>407</x:v>
      </x:c>
      <x:c r="B408" s="14" t="n">
        <x:v>298385.1303120904</x:v>
      </x:c>
    </x:row>
    <x:row r="409">
      <x:c r="A409" t="n">
        <x:v>408</x:v>
      </x:c>
      <x:c r="B409" s="14" t="n">
        <x:v>428629.8896733168</x:v>
      </x:c>
    </x:row>
    <x:row r="410">
      <x:c r="A410" t="n">
        <x:v>409</x:v>
      </x:c>
      <x:c r="B410" s="14" t="n">
        <x:v>346756.9132752131</x:v>
      </x:c>
    </x:row>
    <x:row r="411">
      <x:c r="A411" t="n">
        <x:v>410</x:v>
      </x:c>
      <x:c r="B411" s="14" t="n">
        <x:v>334513.13689675933</x:v>
      </x:c>
    </x:row>
    <x:row r="412">
      <x:c r="A412" t="n">
        <x:v>411</x:v>
      </x:c>
      <x:c r="B412" s="14" t="n">
        <x:v>472559.7505617208</x:v>
      </x:c>
    </x:row>
    <x:row r="413">
      <x:c r="A413" t="n">
        <x:v>412</x:v>
      </x:c>
      <x:c r="B413" s="14" t="n">
        <x:v>449090.8846371886</x:v>
      </x:c>
    </x:row>
    <x:row r="414">
      <x:c r="A414" t="n">
        <x:v>413</x:v>
      </x:c>
      <x:c r="B414" s="14" t="n">
        <x:v>352711.1477981201</x:v>
      </x:c>
    </x:row>
    <x:row r="415">
      <x:c r="A415" t="n">
        <x:v>414</x:v>
      </x:c>
      <x:c r="B415" s="14" t="n">
        <x:v>297978.59129977424</x:v>
      </x:c>
    </x:row>
    <x:row r="416">
      <x:c r="A416" t="n">
        <x:v>415</x:v>
      </x:c>
      <x:c r="B416" s="14" t="n">
        <x:v>573983.7069202317</x:v>
      </x:c>
    </x:row>
    <x:row r="417">
      <x:c r="A417" t="n">
        <x:v>416</x:v>
      </x:c>
      <x:c r="B417" s="14" t="n">
        <x:v>389701.91608329816</x:v>
      </x:c>
    </x:row>
    <x:row r="418">
      <x:c r="A418" t="n">
        <x:v>417</x:v>
      </x:c>
      <x:c r="B418" s="14" t="n">
        <x:v>412423.4211822539</x:v>
      </x:c>
    </x:row>
    <x:row r="419">
      <x:c r="A419" t="n">
        <x:v>418</x:v>
      </x:c>
      <x:c r="B419" s="14" t="n">
        <x:v>318615.6022357255</x:v>
      </x:c>
    </x:row>
    <x:row r="420">
      <x:c r="A420" t="n">
        <x:v>419</x:v>
      </x:c>
      <x:c r="B420" s="14" t="n">
        <x:v>322736.9607047854</x:v>
      </x:c>
    </x:row>
    <x:row r="421">
      <x:c r="A421" t="n">
        <x:v>420</x:v>
      </x:c>
      <x:c r="B421" s="14" t="n">
        <x:v>418827.8249453091</x:v>
      </x:c>
    </x:row>
    <x:row r="422">
      <x:c r="A422" t="n">
        <x:v>421</x:v>
      </x:c>
      <x:c r="B422" s="14" t="n">
        <x:v>682892.75172054</x:v>
      </x:c>
    </x:row>
    <x:row r="423">
      <x:c r="A423" t="n">
        <x:v>422</x:v>
      </x:c>
      <x:c r="B423" s="14" t="n">
        <x:v>406856.4602522593</x:v>
      </x:c>
    </x:row>
    <x:row r="424">
      <x:c r="A424" t="n">
        <x:v>423</x:v>
      </x:c>
      <x:c r="B424" s="14" t="n">
        <x:v>399405.7019914016</x:v>
      </x:c>
    </x:row>
    <x:row r="425">
      <x:c r="A425" t="n">
        <x:v>424</x:v>
      </x:c>
      <x:c r="B425" s="14" t="n">
        <x:v>285285.21226984594</x:v>
      </x:c>
    </x:row>
    <x:row r="426">
      <x:c r="A426" t="n">
        <x:v>425</x:v>
      </x:c>
      <x:c r="B426" s="14" t="n">
        <x:v>455911.6070659275</x:v>
      </x:c>
    </x:row>
    <x:row r="427">
      <x:c r="A427" t="n">
        <x:v>426</x:v>
      </x:c>
      <x:c r="B427" s="14" t="n">
        <x:v>449202.19370598416</x:v>
      </x:c>
    </x:row>
    <x:row r="428">
      <x:c r="A428" t="n">
        <x:v>427</x:v>
      </x:c>
      <x:c r="B428" s="14" t="n">
        <x:v>507200.46365235944</x:v>
      </x:c>
    </x:row>
    <x:row r="429">
      <x:c r="A429" t="n">
        <x:v>428</x:v>
      </x:c>
      <x:c r="B429" s="14" t="n">
        <x:v>486526.9015744883</x:v>
      </x:c>
    </x:row>
    <x:row r="430">
      <x:c r="A430" t="n">
        <x:v>429</x:v>
      </x:c>
      <x:c r="B430" s="14" t="n">
        <x:v>495428.80470019917</x:v>
      </x:c>
    </x:row>
    <x:row r="431">
      <x:c r="A431" t="n">
        <x:v>430</x:v>
      </x:c>
      <x:c r="B431" s="14" t="n">
        <x:v>357194.6560992033</x:v>
      </x:c>
    </x:row>
    <x:row r="432">
      <x:c r="A432" t="n">
        <x:v>431</x:v>
      </x:c>
      <x:c r="B432" s="14" t="n">
        <x:v>360368.7705592261</x:v>
      </x:c>
    </x:row>
    <x:row r="433">
      <x:c r="A433" t="n">
        <x:v>432</x:v>
      </x:c>
      <x:c r="B433" s="14" t="n">
        <x:v>498157.7320265631</x:v>
      </x:c>
    </x:row>
    <x:row r="434">
      <x:c r="A434" t="n">
        <x:v>433</x:v>
      </x:c>
      <x:c r="B434" s="14" t="n">
        <x:v>411877.9832676513</x:v>
      </x:c>
    </x:row>
    <x:row r="435">
      <x:c r="A435" t="n">
        <x:v>434</x:v>
      </x:c>
      <x:c r="B435" s="14" t="n">
        <x:v>386041.4579513079</x:v>
      </x:c>
    </x:row>
    <x:row r="436">
      <x:c r="A436" t="n">
        <x:v>435</x:v>
      </x:c>
      <x:c r="B436" s="14" t="n">
        <x:v>439151.0779298906</x:v>
      </x:c>
    </x:row>
    <x:row r="437">
      <x:c r="A437" t="n">
        <x:v>436</x:v>
      </x:c>
      <x:c r="B437" s="14" t="n">
        <x:v>368055.0516502628</x:v>
      </x:c>
    </x:row>
    <x:row r="438">
      <x:c r="A438" t="n">
        <x:v>437</x:v>
      </x:c>
      <x:c r="B438" s="14" t="n">
        <x:v>324500.0040332865</x:v>
      </x:c>
    </x:row>
    <x:row r="439">
      <x:c r="A439" t="n">
        <x:v>438</x:v>
      </x:c>
      <x:c r="B439" s="14" t="n">
        <x:v>259433.4811691674</x:v>
      </x:c>
    </x:row>
    <x:row r="440">
      <x:c r="A440" t="n">
        <x:v>439</x:v>
      </x:c>
      <x:c r="B440" s="14" t="n">
        <x:v>356852.2678730065</x:v>
      </x:c>
    </x:row>
    <x:row r="441">
      <x:c r="A441" t="n">
        <x:v>440</x:v>
      </x:c>
      <x:c r="B441" s="14" t="n">
        <x:v>403932.84519421885</x:v>
      </x:c>
    </x:row>
    <x:row r="442">
      <x:c r="A442" t="n">
        <x:v>441</x:v>
      </x:c>
      <x:c r="B442" s="14" t="n">
        <x:v>479043.9901948703</x:v>
      </x:c>
    </x:row>
    <x:row r="443">
      <x:c r="A443" t="n">
        <x:v>442</x:v>
      </x:c>
      <x:c r="B443" s="14" t="n">
        <x:v>258204.09409337185</x:v>
      </x:c>
    </x:row>
    <x:row r="444">
      <x:c r="A444" t="n">
        <x:v>443</x:v>
      </x:c>
      <x:c r="B444" s="14" t="n">
        <x:v>397364.8562758345</x:v>
      </x:c>
    </x:row>
    <x:row r="445">
      <x:c r="A445" t="n">
        <x:v>444</x:v>
      </x:c>
      <x:c r="B445" s="14" t="n">
        <x:v>482327.59633086406</x:v>
      </x:c>
    </x:row>
    <x:row r="446">
      <x:c r="A446" t="n">
        <x:v>445</x:v>
      </x:c>
      <x:c r="B446" s="14" t="n">
        <x:v>342512.31305466173</x:v>
      </x:c>
    </x:row>
    <x:row r="447">
      <x:c r="A447" t="n">
        <x:v>446</x:v>
      </x:c>
      <x:c r="B447" s="14" t="n">
        <x:v>313001.6395918298</x:v>
      </x:c>
    </x:row>
    <x:row r="448">
      <x:c r="A448" t="n">
        <x:v>447</x:v>
      </x:c>
      <x:c r="B448" s="14" t="n">
        <x:v>371923.20490938553</x:v>
      </x:c>
    </x:row>
    <x:row r="449">
      <x:c r="A449" t="n">
        <x:v>448</x:v>
      </x:c>
      <x:c r="B449" s="14" t="n">
        <x:v>514324.91661386174</x:v>
      </x:c>
    </x:row>
    <x:row r="450">
      <x:c r="A450" t="n">
        <x:v>449</x:v>
      </x:c>
      <x:c r="B450" s="14" t="n">
        <x:v>475542.9888244804</x:v>
      </x:c>
    </x:row>
    <x:row r="451">
      <x:c r="A451" t="n">
        <x:v>450</x:v>
      </x:c>
      <x:c r="B451" s="14" t="n">
        <x:v>506035.40650014527</x:v>
      </x:c>
    </x:row>
    <x:row r="452">
      <x:c r="A452" t="n">
        <x:v>451</x:v>
      </x:c>
      <x:c r="B452" s="14" t="n">
        <x:v>312800.8977209549</x:v>
      </x:c>
    </x:row>
    <x:row r="453">
      <x:c r="A453" t="n">
        <x:v>452</x:v>
      </x:c>
      <x:c r="B453" s="14" t="n">
        <x:v>438808.02853691496</x:v>
      </x:c>
    </x:row>
    <x:row r="454">
      <x:c r="A454" t="n">
        <x:v>453</x:v>
      </x:c>
      <x:c r="B454" s="14" t="n">
        <x:v>477082.58488216635</x:v>
      </x:c>
    </x:row>
    <x:row r="455">
      <x:c r="A455" t="n">
        <x:v>454</x:v>
      </x:c>
      <x:c r="B455" s="14" t="n">
        <x:v>306768.9073577896</x:v>
      </x:c>
    </x:row>
    <x:row r="456">
      <x:c r="A456" t="n">
        <x:v>455</x:v>
      </x:c>
      <x:c r="B456" s="14" t="n">
        <x:v>439521.250181669</x:v>
      </x:c>
    </x:row>
    <x:row r="457">
      <x:c r="A457" t="n">
        <x:v>456</x:v>
      </x:c>
      <x:c r="B457" s="14" t="n">
        <x:v>543053.3876763344</x:v>
      </x:c>
    </x:row>
    <x:row r="458">
      <x:c r="A458" t="n">
        <x:v>457</x:v>
      </x:c>
      <x:c r="B458" s="14" t="n">
        <x:v>457992.235021016</x:v>
      </x:c>
    </x:row>
    <x:row r="459">
      <x:c r="A459" t="n">
        <x:v>458</x:v>
      </x:c>
      <x:c r="B459" s="14" t="n">
        <x:v>494483.6671615427</x:v>
      </x:c>
    </x:row>
    <x:row r="460">
      <x:c r="A460" t="n">
        <x:v>459</x:v>
      </x:c>
      <x:c r="B460" s="14" t="n">
        <x:v>501111.37597031</x:v>
      </x:c>
    </x:row>
    <x:row r="461">
      <x:c r="A461" t="n">
        <x:v>460</x:v>
      </x:c>
      <x:c r="B461" s="14" t="n">
        <x:v>402507.5765204383</x:v>
      </x:c>
    </x:row>
    <x:row r="462">
      <x:c r="A462" t="n">
        <x:v>461</x:v>
      </x:c>
      <x:c r="B462" s="14" t="n">
        <x:v>354363.28831808513</x:v>
      </x:c>
    </x:row>
    <x:row r="463">
      <x:c r="A463" t="n">
        <x:v>462</x:v>
      </x:c>
      <x:c r="B463" s="14" t="n">
        <x:v>447286.83588319336</x:v>
      </x:c>
    </x:row>
    <x:row r="464">
      <x:c r="A464" t="n">
        <x:v>463</x:v>
      </x:c>
      <x:c r="B464" s="14" t="n">
        <x:v>305005.3006341556</x:v>
      </x:c>
    </x:row>
    <x:row r="465">
      <x:c r="A465" t="n">
        <x:v>464</x:v>
      </x:c>
      <x:c r="B465" s="14" t="n">
        <x:v>324901.5583263545</x:v>
      </x:c>
    </x:row>
    <x:row r="466">
      <x:c r="A466" t="n">
        <x:v>465</x:v>
      </x:c>
      <x:c r="B466" s="14" t="n">
        <x:v>354868.37357518094</x:v>
      </x:c>
    </x:row>
    <x:row r="467">
      <x:c r="A467" t="n">
        <x:v>466</x:v>
      </x:c>
      <x:c r="B467" s="14" t="n">
        <x:v>339718.9514402439</x:v>
      </x:c>
    </x:row>
    <x:row r="468">
      <x:c r="A468" t="n">
        <x:v>467</x:v>
      </x:c>
      <x:c r="B468" s="14" t="n">
        <x:v>343221.7174045543</x:v>
      </x:c>
    </x:row>
    <x:row r="469">
      <x:c r="A469" t="n">
        <x:v>468</x:v>
      </x:c>
      <x:c r="B469" s="14" t="n">
        <x:v>348508.0220995099</x:v>
      </x:c>
    </x:row>
    <x:row r="470">
      <x:c r="A470" t="n">
        <x:v>469</x:v>
      </x:c>
      <x:c r="B470" s="14" t="n">
        <x:v>419659.0112286838</x:v>
      </x:c>
    </x:row>
    <x:row r="471">
      <x:c r="A471" t="n">
        <x:v>470</x:v>
      </x:c>
      <x:c r="B471" s="14" t="n">
        <x:v>269606.56625859527</x:v>
      </x:c>
    </x:row>
    <x:row r="472">
      <x:c r="A472" t="n">
        <x:v>471</x:v>
      </x:c>
      <x:c r="B472" s="14" t="n">
        <x:v>375071.6593929821</x:v>
      </x:c>
    </x:row>
    <x:row r="473">
      <x:c r="A473" t="n">
        <x:v>472</x:v>
      </x:c>
      <x:c r="B473" s="14" t="n">
        <x:v>453767.33461597393</x:v>
      </x:c>
    </x:row>
    <x:row r="474">
      <x:c r="A474" t="n">
        <x:v>473</x:v>
      </x:c>
      <x:c r="B474" s="14" t="n">
        <x:v>266340.07701969944</x:v>
      </x:c>
    </x:row>
    <x:row r="475">
      <x:c r="A475" t="n">
        <x:v>474</x:v>
      </x:c>
      <x:c r="B475" s="14" t="n">
        <x:v>438879.01449715224</x:v>
      </x:c>
    </x:row>
    <x:row r="476">
      <x:c r="A476" t="n">
        <x:v>475</x:v>
      </x:c>
      <x:c r="B476" s="14" t="n">
        <x:v>310624.2563587615</x:v>
      </x:c>
    </x:row>
    <x:row r="477">
      <x:c r="A477" t="n">
        <x:v>476</x:v>
      </x:c>
      <x:c r="B477" s="14" t="n">
        <x:v>368847.1028885365</x:v>
      </x:c>
    </x:row>
    <x:row r="478">
      <x:c r="A478" t="n">
        <x:v>477</x:v>
      </x:c>
      <x:c r="B478" s="14" t="n">
        <x:v>479338.03165073565</x:v>
      </x:c>
    </x:row>
    <x:row r="479">
      <x:c r="A479" t="n">
        <x:v>478</x:v>
      </x:c>
      <x:c r="B479" s="14" t="n">
        <x:v>372263.2096531448</x:v>
      </x:c>
    </x:row>
    <x:row r="480">
      <x:c r="A480" t="n">
        <x:v>479</x:v>
      </x:c>
      <x:c r="B480" s="14" t="n">
        <x:v>419771.184329027</x:v>
      </x:c>
    </x:row>
    <x:row r="481">
      <x:c r="A481" t="n">
        <x:v>480</x:v>
      </x:c>
      <x:c r="B481" s="14" t="n">
        <x:v>420973.0677399007</x:v>
      </x:c>
    </x:row>
    <x:row r="482">
      <x:c r="A482" t="n">
        <x:v>481</x:v>
      </x:c>
      <x:c r="B482" s="14" t="n">
        <x:v>461452.1711902281</x:v>
      </x:c>
    </x:row>
    <x:row r="483">
      <x:c r="A483" t="n">
        <x:v>482</x:v>
      </x:c>
      <x:c r="B483" s="14" t="n">
        <x:v>425207.437581121</x:v>
      </x:c>
    </x:row>
    <x:row r="484">
      <x:c r="A484" t="n">
        <x:v>483</x:v>
      </x:c>
      <x:c r="B484" s="14" t="n">
        <x:v>357398.54713257344</x:v>
      </x:c>
    </x:row>
    <x:row r="485">
      <x:c r="A485" t="n">
        <x:v>484</x:v>
      </x:c>
      <x:c r="B485" s="14" t="n">
        <x:v>398860.16427130793</x:v>
      </x:c>
    </x:row>
    <x:row r="486">
      <x:c r="A486" t="n">
        <x:v>485</x:v>
      </x:c>
      <x:c r="B486" s="14" t="n">
        <x:v>437129.0542965809</x:v>
      </x:c>
    </x:row>
    <x:row r="487">
      <x:c r="A487" t="n">
        <x:v>486</x:v>
      </x:c>
      <x:c r="B487" s="14" t="n">
        <x:v>535925.1379511452</x:v>
      </x:c>
    </x:row>
    <x:row r="488">
      <x:c r="A488" t="n">
        <x:v>487</x:v>
      </x:c>
      <x:c r="B488" s="14" t="n">
        <x:v>360090.2666166624</x:v>
      </x:c>
    </x:row>
    <x:row r="489">
      <x:c r="A489" t="n">
        <x:v>488</x:v>
      </x:c>
      <x:c r="B489" s="14" t="n">
        <x:v>365625.1371263501</x:v>
      </x:c>
    </x:row>
    <x:row r="490">
      <x:c r="A490" t="n">
        <x:v>489</x:v>
      </x:c>
      <x:c r="B490" s="14" t="n">
        <x:v>364878.42505695217</x:v>
      </x:c>
    </x:row>
    <x:row r="491">
      <x:c r="A491" t="n">
        <x:v>490</x:v>
      </x:c>
      <x:c r="B491" s="14" t="n">
        <x:v>405066.60914892243</x:v>
      </x:c>
    </x:row>
    <x:row r="492">
      <x:c r="A492" t="n">
        <x:v>491</x:v>
      </x:c>
      <x:c r="B492" s="14" t="n">
        <x:v>660809.1451731613</x:v>
      </x:c>
    </x:row>
    <x:row r="493">
      <x:c r="A493" t="n">
        <x:v>492</x:v>
      </x:c>
      <x:c r="B493" s="14" t="n">
        <x:v>339614.78036188916</x:v>
      </x:c>
    </x:row>
    <x:row r="494">
      <x:c r="A494" t="n">
        <x:v>493</x:v>
      </x:c>
      <x:c r="B494" s="14" t="n">
        <x:v>634921.5912464369</x:v>
      </x:c>
    </x:row>
    <x:row r="495">
      <x:c r="A495" t="n">
        <x:v>494</x:v>
      </x:c>
      <x:c r="B495" s="14" t="n">
        <x:v>416612.19284532097</x:v>
      </x:c>
    </x:row>
    <x:row r="496">
      <x:c r="A496" t="n">
        <x:v>495</x:v>
      </x:c>
      <x:c r="B496" s="14" t="n">
        <x:v>424109.1826601293</x:v>
      </x:c>
    </x:row>
    <x:row r="497">
      <x:c r="A497" t="n">
        <x:v>496</x:v>
      </x:c>
      <x:c r="B497" s="14" t="n">
        <x:v>527627.3381527956</x:v>
      </x:c>
    </x:row>
    <x:row r="498">
      <x:c r="A498" t="n">
        <x:v>497</x:v>
      </x:c>
      <x:c r="B498" s="14" t="n">
        <x:v>502250.18559471105</x:v>
      </x:c>
    </x:row>
    <x:row r="499">
      <x:c r="A499" t="n">
        <x:v>498</x:v>
      </x:c>
      <x:c r="B499" s="14" t="n">
        <x:v>388832.99560173444</x:v>
      </x:c>
    </x:row>
    <x:row r="500">
      <x:c r="A500" t="n">
        <x:v>499</x:v>
      </x:c>
      <x:c r="B500" s="14" t="n">
        <x:v>353578.10791800404</x:v>
      </x:c>
    </x:row>
    <x:row r="501">
      <x:c r="A501" t="n">
        <x:v>500</x:v>
      </x:c>
      <x:c r="B501" s="14" t="n">
        <x:v>365387.9037111272</x:v>
      </x:c>
    </x:row>
  </x:sheetData>
  <x:pageMargins left="0.7" right="0.7" top="0.75" bottom="0.75" header="0.3" footer="0.3"/>
  <x:tableParts count="1">
    <x:tablePart xmlns:r="http://schemas.openxmlformats.org/officeDocument/2006/relationships" r:id="R96b401d1380944d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9.829999923706055" hidden="0" customWidth="1"/>
    <x:col min="2" max="2" width="10.359999656677246" hidden="0" customWidth="1"/>
    <x:col min="3" max="3" width="10.359999656677246" hidden="0" customWidth="1"/>
    <x:col min="4" max="4" width="10.359999656677246" hidden="0" customWidth="1"/>
    <x:col min="5" max="5" width="10.359999656677246" hidden="0" customWidth="1"/>
    <x:col min="6" max="6" width="10.770000457763672" hidden="0" customWidth="1"/>
    <x:col min="7" max="7" width="10.5" hidden="0" customWidth="1"/>
    <x:col min="8" max="8" width="10.359999656677246" hidden="0" customWidth="1"/>
    <x:col min="9" max="9" width="10.630000114440918" hidden="0" customWidth="1"/>
    <x:col min="10" max="10" width="10.359999656677246" hidden="0" customWidth="1"/>
  </x:cols>
  <x:sheetData>
    <x:row r="1">
      <x:c r="A1" s="8" t="str">
        <x:v>Portfolio_ID</x:v>
      </x:c>
      <x:c r="B1" s="8" t="str">
        <x:v>Return</x:v>
      </x:c>
      <x:c r="C1" s="8" t="str">
        <x:v>Volatility</x:v>
      </x:c>
      <x:c r="D1" s="8" t="str">
        <x:v>Sharpe</x:v>
      </x:c>
      <x:c r="E1" s="8" t="str">
        <x:v>SPY_Weight</x:v>
      </x:c>
      <x:c r="F1" s="8" t="str">
        <x:v>QQQ_Weight</x:v>
      </x:c>
      <x:c r="G1" s="8" t="str">
        <x:v>AGG_Weight</x:v>
      </x:c>
      <x:c r="H1" s="8" t="str">
        <x:v>BIL_Weight</x:v>
      </x:c>
      <x:c r="I1" s="8" t="str">
        <x:v>VNQ_Weight</x:v>
      </x:c>
      <x:c r="J1" s="8" t="str">
        <x:v>VIG_Weight</x:v>
      </x:c>
      <x:c r="K1" s="8"/>
      <x:c r="L1" t="str">
        <x:v>Optimizer KPI</x:v>
      </x:c>
      <x:c r="M1" t="str">
        <x:v>Formula</x:v>
      </x:c>
    </x:row>
    <x:row r="2">
      <x:c r="A2" t="str">
        <x:v>P001</x:v>
      </x:c>
      <x:c r="B2" s="24" t="n">
        <x:v>0.0747744648514519</x:v>
      </x:c>
      <x:c r="C2" s="24" t="n">
        <x:v>0.07258381750023728</x:v>
      </x:c>
      <x:c r="D2" s="26" t="n">
        <x:v>0.47909390893277576</x:v>
      </x:c>
      <x:c r="E2" s="16" t="n">
        <x:v>0.29992829520480735</x:v>
      </x:c>
      <x:c r="F2" s="16" t="n">
        <x:v>0.17644845517643698</x:v>
      </x:c>
      <x:c r="G2" s="16" t="n">
        <x:v>0.28622032471587155</x:v>
      </x:c>
      <x:c r="H2" s="16" t="n">
        <x:v>0.1169517983725611</x:v>
      </x:c>
      <x:c r="I2" s="16" t="n">
        <x:v>0.04672664062377154</x:v>
      </x:c>
      <x:c r="J2" s="16" t="n">
        <x:v>0.07372448590655153</x:v>
      </x:c>
      <x:c r="L2" t="str">
        <x:v>Best Sharpe</x:v>
      </x:c>
      <x:c r="M2" t="n">
        <x:f>MAX(D2:D252)</x:f>
        <x:v>0.8843947391675103</x:v>
      </x:c>
    </x:row>
    <x:row r="3">
      <x:c r="A3" t="str">
        <x:v>P002</x:v>
      </x:c>
      <x:c r="B3" s="24" t="n">
        <x:v>0.06951633162594062</x:v>
      </x:c>
      <x:c r="C3" s="24" t="n">
        <x:v>0.052450478083274486</x:v>
      </x:c>
      <x:c r="D3" s="26" t="n">
        <x:v>0.562746665131978</x:v>
      </x:c>
      <x:c r="E3" s="16" t="n">
        <x:v>0.23428639262462547</x:v>
      </x:c>
      <x:c r="F3" s="16" t="n">
        <x:v>0.06783434753191109</x:v>
      </x:c>
      <x:c r="G3" s="16" t="n">
        <x:v>0.22815980673523947</x:v>
      </x:c>
      <x:c r="H3" s="16" t="n">
        <x:v>0.2666420869586396</x:v>
      </x:c>
      <x:c r="I3" s="16" t="n">
        <x:v>0.16077826198956285</x:v>
      </x:c>
      <x:c r="J3" s="16" t="n">
        <x:v>0.042299104160021424</x:v>
      </x:c>
      <x:c r="L3" t="str">
        <x:v>Min Volatility</x:v>
      </x:c>
      <x:c r="M3" t="n">
        <x:f>MIN(C2:C252)</x:f>
        <x:v>0.0345617727104169</x:v>
      </x:c>
    </x:row>
    <x:row r="4">
      <x:c r="A4" t="str">
        <x:v>P003</x:v>
      </x:c>
      <x:c r="B4" s="24" t="n">
        <x:v>0.07260223802256349</x:v>
      </x:c>
      <x:c r="C4" s="24" t="n">
        <x:v>0.06803516722969928</x:v>
      </x:c>
      <x:c r="D4" s="26" t="n">
        <x:v>0.4791968528936266</x:v>
      </x:c>
      <x:c r="E4" s="16" t="n">
        <x:v>0.21863803453586378</x:v>
      </x:c>
      <x:c r="F4" s="16" t="n">
        <x:v>0.13307613693584916</x:v>
      </x:c>
      <x:c r="G4" s="16" t="n">
        <x:v>0.3185603122836968</x:v>
      </x:c>
      <x:c r="H4" s="16" t="n">
        <x:v>0.0784220435868292</x:v>
      </x:c>
      <x:c r="I4" s="16" t="n">
        <x:v>0.08215663001273955</x:v>
      </x:c>
      <x:c r="J4" s="16" t="n">
        <x:v>0.1691468426450216</x:v>
      </x:c>
      <x:c r="L4" t="str">
        <x:v>Highest Return</x:v>
      </x:c>
      <x:c r="M4" t="n">
        <x:f>MAX(B2:B252)</x:f>
        <x:v>0.126319940768014</x:v>
      </x:c>
    </x:row>
    <x:row r="5">
      <x:c r="A5" t="str">
        <x:v>P004</x:v>
      </x:c>
      <x:c r="B5" s="24" t="n">
        <x:v>0.07444654521081273</x:v>
      </x:c>
      <x:c r="C5" s="24" t="n">
        <x:v>0.052527933753550075</x:v>
      </x:c>
      <x:c r="D5" s="26" t="n">
        <x:v>0.6557757510970946</x:v>
      </x:c>
      <x:c r="E5" s="16" t="n">
        <x:v>0.2189617629106025</x:v>
      </x:c>
      <x:c r="F5" s="16" t="n">
        <x:v>0.08330087819619593</x:v>
      </x:c>
      <x:c r="G5" s="16" t="n">
        <x:v>0.1660712217798303</x:v>
      </x:c>
      <x:c r="H5" s="16" t="n">
        <x:v>0.2964291598287054</x:v>
      </x:c>
      <x:c r="I5" s="16" t="n">
        <x:v>0.20874275929844283</x:v>
      </x:c>
      <x:c r="J5" s="16" t="n">
        <x:v>0.02649421798622338</x:v>
      </x:c>
      <x:c r="L5" t="str">
        <x:v>Current Sharpe</x:v>
      </x:c>
      <x:c r="M5" t="n">
        <x:f>XLOOKUP("Current",A2:A252,D2:D252)</x:f>
        <x:v>0.5278160496494927</x:v>
      </x:c>
    </x:row>
    <x:row r="6">
      <x:c r="A6" t="str">
        <x:v>P005</x:v>
      </x:c>
      <x:c r="B6" s="24" t="n">
        <x:v>0.08344790057801621</x:v>
      </x:c>
      <x:c r="C6" s="24" t="n">
        <x:v>0.08374105301693197</x:v>
      </x:c>
      <x:c r="D6" s="26" t="n">
        <x:v>0.5188363295268247</x:v>
      </x:c>
      <x:c r="E6" s="16" t="n">
        <x:v>0.1643503034911162</x:v>
      </x:c>
      <x:c r="F6" s="16" t="n">
        <x:v>0.16454897668304447</x:v>
      </x:c>
      <x:c r="G6" s="16" t="n">
        <x:v>0.17713135014319775</x:v>
      </x:c>
      <x:c r="H6" s="16" t="n">
        <x:v>0.009434163545639057</x:v>
      </x:c>
      <x:c r="I6" s="16" t="n">
        <x:v>0.10842744485712111</x:v>
      </x:c>
      <x:c r="J6" s="16" t="n">
        <x:v>0.3761077612798814</x:v>
      </x:c>
    </x:row>
    <x:row r="7">
      <x:c r="A7" t="str">
        <x:v>P006</x:v>
      </x:c>
      <x:c r="B7" s="24" t="n">
        <x:v>0.09009904293327509</x:v>
      </x:c>
      <x:c r="C7" s="24" t="n">
        <x:v>0.0739498991048721</x:v>
      </x:c>
      <x:c r="D7" s="26" t="n">
        <x:v>0.6774727692627017</x:v>
      </x:c>
      <x:c r="E7" s="16" t="n">
        <x:v>0.20753370511694377</x:v>
      </x:c>
      <x:c r="F7" s="16" t="n">
        <x:v>0.22109549964305522</x:v>
      </x:c>
      <x:c r="G7" s="16" t="n">
        <x:v>0.17836247765831503</x:v>
      </x:c>
      <x:c r="H7" s="16" t="n">
        <x:v>0.10200146134149311</x:v>
      </x:c>
      <x:c r="I7" s="16" t="n">
        <x:v>0.22034227135328546</x:v>
      </x:c>
      <x:c r="J7" s="16" t="n">
        <x:v>0.07066458488690736</x:v>
      </x:c>
    </x:row>
    <x:row r="8">
      <x:c r="A8" t="str">
        <x:v>P007</x:v>
      </x:c>
      <x:c r="B8" s="24" t="n">
        <x:v>0.08621870000287335</x:v>
      </x:c>
      <x:c r="C8" s="24" t="n">
        <x:v>0.07940226362127935</x:v>
      </x:c>
      <x:c r="D8" s="26" t="n">
        <x:v>0.5820829016074424</x:v>
      </x:c>
      <x:c r="E8" s="16" t="n">
        <x:v>0.20849899868163546</x:v>
      </x:c>
      <x:c r="F8" s="16" t="n">
        <x:v>0.20646691330517536</x:v>
      </x:c>
      <x:c r="G8" s="16" t="n">
        <x:v>0.1549128580488682</x:v>
      </x:c>
      <x:c r="H8" s="16" t="n">
        <x:v>0.08799751578641317</x:v>
      </x:c>
      <x:c r="I8" s="16" t="n">
        <x:v>0.11615533817407146</x:v>
      </x:c>
      <x:c r="J8" s="16" t="n">
        <x:v>0.22596837600383624</x:v>
      </x:c>
    </x:row>
    <x:row r="9">
      <x:c r="A9" t="str">
        <x:v>P008</x:v>
      </x:c>
      <x:c r="B9" s="24" t="n">
        <x:v>0.08770991281792129</x:v>
      </x:c>
      <x:c r="C9" s="24" t="n">
        <x:v>0.06852087276483905</x:v>
      </x:c>
      <x:c r="D9" s="26" t="n">
        <x:v>0.696282911948011</x:v>
      </x:c>
      <x:c r="E9" s="16" t="n">
        <x:v>0.10584229500715811</x:v>
      </x:c>
      <x:c r="F9" s="16" t="n">
        <x:v>0.12901184475521044</x:v>
      </x:c>
      <x:c r="G9" s="16" t="n">
        <x:v>0.13195840385834617</x:v>
      </x:c>
      <x:c r="H9" s="16" t="n">
        <x:v>0.12104079524184812</x:v>
      </x:c>
      <x:c r="I9" s="16" t="n">
        <x:v>0.30875658414095736</x:v>
      </x:c>
      <x:c r="J9" s="16" t="n">
        <x:v>0.2033900769964798</x:v>
      </x:c>
    </x:row>
    <x:row r="10">
      <x:c r="A10" t="str">
        <x:v>P009</x:v>
      </x:c>
      <x:c r="B10" s="24" t="n">
        <x:v>0.08821498214467671</x:v>
      </x:c>
      <x:c r="C10" s="24" t="n">
        <x:v>0.06289094069614992</x:v>
      </x:c>
      <x:c r="D10" s="26" t="n">
        <x:v>0.7666443149200398</x:v>
      </x:c>
      <x:c r="E10" s="16" t="n">
        <x:v>0.006453699759640683</x:v>
      </x:c>
      <x:c r="F10" s="16" t="n">
        <x:v>0.2605309381620923</x:v>
      </x:c>
      <x:c r="G10" s="16" t="n">
        <x:v>0.17642197239881574</x:v>
      </x:c>
      <x:c r="H10" s="16" t="n">
        <x:v>0.27364028033816257</x:v>
      </x:c>
      <x:c r="I10" s="16" t="n">
        <x:v>0.1737497854249779</x:v>
      </x:c>
      <x:c r="J10" s="16" t="n">
        <x:v>0.10920332391631077</x:v>
      </x:c>
    </x:row>
    <x:row r="11">
      <x:c r="A11" t="str">
        <x:v>P010</x:v>
      </x:c>
      <x:c r="B11" s="24" t="n">
        <x:v>0.08176068854989693</x:v>
      </x:c>
      <x:c r="C11" s="24" t="n">
        <x:v>0.06565470964134436</x:v>
      </x:c>
      <x:c r="D11" s="26" t="n">
        <x:v>0.6360653908611488</x:v>
      </x:c>
      <x:c r="E11" s="16" t="n">
        <x:v>0.30518012788814786</x:v>
      </x:c>
      <x:c r="F11" s="16" t="n">
        <x:v>0.06303131977086117</x:v>
      </x:c>
      <x:c r="G11" s="16" t="n">
        <x:v>0.10118628838159271</x:v>
      </x:c>
      <x:c r="H11" s="16" t="n">
        <x:v>0.17604474320070762</x:v>
      </x:c>
      <x:c r="I11" s="16" t="n">
        <x:v>0.3126643894828409</x:v>
      </x:c>
      <x:c r="J11" s="16" t="n">
        <x:v>0.0418931312758499</x:v>
      </x:c>
    </x:row>
    <x:row r="12">
      <x:c r="A12" t="str">
        <x:v>P011</x:v>
      </x:c>
      <x:c r="B12" s="24" t="n">
        <x:v>0.08781185748345965</x:v>
      </x:c>
      <x:c r="C12" s="24" t="n">
        <x:v>0.072420004528611</x:v>
      </x:c>
      <x:c r="D12" s="26" t="n">
        <x:v>0.6602023542344657</x:v>
      </x:c>
      <x:c r="E12" s="16" t="n">
        <x:v>0.11416425505796579</x:v>
      </x:c>
      <x:c r="F12" s="16" t="n">
        <x:v>0.17940617669145856</x:v>
      </x:c>
      <x:c r="G12" s="16" t="n">
        <x:v>0.22865635778991697</x:v>
      </x:c>
      <x:c r="H12" s="16" t="n">
        <x:v>0.035458551446610594</x:v>
      </x:c>
      <x:c r="I12" s="16" t="n">
        <x:v>0.2545891012814014</x:v>
      </x:c>
      <x:c r="J12" s="16" t="n">
        <x:v>0.18772555773264657</x:v>
      </x:c>
    </x:row>
    <x:row r="13">
      <x:c r="A13" t="str">
        <x:v>P012</x:v>
      </x:c>
      <x:c r="B13" s="24" t="n">
        <x:v>0.08426747282849445</x:v>
      </x:c>
      <x:c r="C13" s="24" t="n">
        <x:v>0.05791784729744539</x:v>
      </x:c>
      <x:c r="D13" s="26" t="n">
        <x:v>0.7643148855507786</x:v>
      </x:c>
      <x:c r="E13" s="16" t="n">
        <x:v>0.15804383815660483</x:v>
      </x:c>
      <x:c r="F13" s="16" t="n">
        <x:v>0.11639733445703275</x:v>
      </x:c>
      <x:c r="G13" s="16" t="n">
        <x:v>0.09615890378308671</x:v>
      </x:c>
      <x:c r="H13" s="16" t="n">
        <x:v>0.2721459777332678</x:v>
      </x:c>
      <x:c r="I13" s="16" t="n">
        <x:v>0.30370675524462953</x:v>
      </x:c>
      <x:c r="J13" s="16" t="n">
        <x:v>0.05354719062537835</x:v>
      </x:c>
    </x:row>
    <x:row r="14">
      <x:c r="A14" t="str">
        <x:v>P013</x:v>
      </x:c>
      <x:c r="B14" s="24" t="n">
        <x:v>0.07906085216842063</x:v>
      </x:c>
      <x:c r="C14" s="24" t="n">
        <x:v>0.05712828728698301</x:v>
      </x:c>
      <x:c r="D14" s="26" t="n">
        <x:v>0.6837392476374984</x:v>
      </x:c>
      <x:c r="E14" s="16" t="n">
        <x:v>0.0710305214191633</x:v>
      </x:c>
      <x:c r="F14" s="16" t="n">
        <x:v>0.22401662218095628</x:v>
      </x:c>
      <x:c r="G14" s="16" t="n">
        <x:v>0.2567706800170277</x:v>
      </x:c>
      <x:c r="H14" s="16" t="n">
        <x:v>0.2763847030092703</x:v>
      </x:c>
      <x:c r="I14" s="16" t="n">
        <x:v>0.1015732605854921</x:v>
      </x:c>
      <x:c r="J14" s="16" t="n">
        <x:v>0.07022421278809042</x:v>
      </x:c>
    </x:row>
    <x:row r="15">
      <x:c r="A15" t="str">
        <x:v>P014</x:v>
      </x:c>
      <x:c r="B15" s="24" t="n">
        <x:v>0.06823988001842007</x:v>
      </x:c>
      <x:c r="C15" s="24" t="n">
        <x:v>0.04367198177982702</x:v>
      </x:c>
      <x:c r="D15" s="26" t="n">
        <x:v>0.6466361009397712</x:v>
      </x:c>
      <x:c r="E15" s="16" t="n">
        <x:v>0.03616460393090703</x:v>
      </x:c>
      <x:c r="F15" s="16" t="n">
        <x:v>0.18754373890768103</x:v>
      </x:c>
      <x:c r="G15" s="16" t="n">
        <x:v>0.280312106343011</x:v>
      </x:c>
      <x:c r="H15" s="16" t="n">
        <x:v>0.43483261140838636</x:v>
      </x:c>
      <x:c r="I15" s="16" t="n">
        <x:v>0.016467558240614334</x:v>
      </x:c>
      <x:c r="J15" s="16" t="n">
        <x:v>0.0446793811694</x:v>
      </x:c>
    </x:row>
    <x:row r="16">
      <x:c r="A16" t="str">
        <x:v>P015</x:v>
      </x:c>
      <x:c r="B16" s="24" t="n">
        <x:v>0.0941354639763754</x:v>
      </x:c>
      <x:c r="C16" s="24" t="n">
        <x:v>0.10144665235493847</x:v>
      </x:c>
      <x:c r="D16" s="26" t="n">
        <x:v>0.5336347993718696</x:v>
      </x:c>
      <x:c r="E16" s="16" t="n">
        <x:v>0.29398786385400477</x:v>
      </x:c>
      <x:c r="F16" s="16" t="n">
        <x:v>0.30216905329554744</x:v>
      </x:c>
      <x:c r="G16" s="16" t="n">
        <x:v>0.055872961110862485</x:v>
      </x:c>
      <x:c r="H16" s="16" t="n">
        <x:v>0.04337527184928006</x:v>
      </x:c>
      <x:c r="I16" s="16" t="n">
        <x:v>0.01259244872908367</x:v>
      </x:c>
      <x:c r="J16" s="16" t="n">
        <x:v>0.2920024011612215</x:v>
      </x:c>
    </x:row>
    <x:row r="17">
      <x:c r="A17" t="str">
        <x:v>P016</x:v>
      </x:c>
      <x:c r="B17" s="24" t="n">
        <x:v>0.0787518227283448</x:v>
      </x:c>
      <x:c r="C17" s="24" t="n">
        <x:v>0.06049904832336282</x:v>
      </x:c>
      <x:c r="D17" s="26" t="n">
        <x:v>0.6405360712654395</x:v>
      </x:c>
      <x:c r="E17" s="16" t="n">
        <x:v>0.144723268739201</x:v>
      </x:c>
      <x:c r="F17" s="16" t="n">
        <x:v>0.12462548719354413</x:v>
      </x:c>
      <x:c r="G17" s="16" t="n">
        <x:v>0.3436604321647327</x:v>
      </x:c>
      <x:c r="H17" s="16" t="n">
        <x:v>0.06257337405175162</x:v>
      </x:c>
      <x:c r="I17" s="16" t="n">
        <x:v>0.27739717189519314</x:v>
      </x:c>
      <x:c r="J17" s="16" t="n">
        <x:v>0.047020265955577394</x:v>
      </x:c>
    </x:row>
    <x:row r="18">
      <x:c r="A18" t="str">
        <x:v>P017</x:v>
      </x:c>
      <x:c r="B18" s="24" t="n">
        <x:v>0.0826560072812117</x:v>
      </x:c>
      <x:c r="C18" s="24" t="n">
        <x:v>0.06629994704995601</x:v>
      </x:c>
      <x:c r="D18" s="26" t="n">
        <x:v>0.6433792058547353</x:v>
      </x:c>
      <x:c r="E18" s="16" t="n">
        <x:v>0.021264227096227238</x:v>
      </x:c>
      <x:c r="F18" s="16" t="n">
        <x:v>0.216212456912719</x:v>
      </x:c>
      <x:c r="G18" s="16" t="n">
        <x:v>0.25601857663394506</x:v>
      </x:c>
      <x:c r="H18" s="16" t="n">
        <x:v>0.14955524709019663</x:v>
      </x:c>
      <x:c r="I18" s="16" t="n">
        <x:v>0.13005934604605826</x:v>
      </x:c>
      <x:c r="J18" s="16" t="n">
        <x:v>0.22689014622085377</x:v>
      </x:c>
    </x:row>
    <x:row r="19">
      <x:c r="A19" t="str">
        <x:v>P018</x:v>
      </x:c>
      <x:c r="B19" s="24" t="n">
        <x:v>0.05829543850447205</x:v>
      </x:c>
      <x:c r="C19" s="24" t="n">
        <x:v>0.0345617727104169</x:v>
      </x:c>
      <x:c r="D19" s="26" t="n">
        <x:v>0.5293547486051783</x:v>
      </x:c>
      <x:c r="E19" s="16" t="n">
        <x:v>0.03379605255728377</x:v>
      </x:c>
      <x:c r="F19" s="16" t="n">
        <x:v>0.12368085550126447</x:v>
      </x:c>
      <x:c r="G19" s="16" t="n">
        <x:v>0.4023396966004598</x:v>
      </x:c>
      <x:c r="H19" s="16" t="n">
        <x:v>0.42175669614593186</x:v>
      </x:c>
      <x:c r="I19" s="16" t="n">
        <x:v>0.017064871613442494</x:v>
      </x:c>
      <x:c r="J19" s="16" t="n">
        <x:v>0.001361827581617619</x:v>
      </x:c>
    </x:row>
    <x:row r="20">
      <x:c r="A20" t="str">
        <x:v>P019</x:v>
      </x:c>
      <x:c r="B20" s="24" t="n">
        <x:v>0.07562407272039962</x:v>
      </x:c>
      <x:c r="C20" s="24" t="n">
        <x:v>0.06500372411629941</x:v>
      </x:c>
      <x:c r="D20" s="26" t="n">
        <x:v>0.5480312582808933</x:v>
      </x:c>
      <x:c r="E20" s="16" t="n">
        <x:v>0.2029762361608432</x:v>
      </x:c>
      <x:c r="F20" s="16" t="n">
        <x:v>0.11944582397885367</x:v>
      </x:c>
      <x:c r="G20" s="16" t="n">
        <x:v>0.20153465846963722</x:v>
      </x:c>
      <x:c r="H20" s="16" t="n">
        <x:v>0.1699609062947326</x:v>
      </x:c>
      <x:c r="I20" s="16" t="n">
        <x:v>0.11841178789500376</x:v>
      </x:c>
      <x:c r="J20" s="16" t="n">
        <x:v>0.18767058720092952</x:v>
      </x:c>
    </x:row>
    <x:row r="21">
      <x:c r="A21" t="str">
        <x:v>P020</x:v>
      </x:c>
      <x:c r="B21" s="24" t="n">
        <x:v>0.07098922049790302</x:v>
      </x:c>
      <x:c r="C21" s="24" t="n">
        <x:v>0.05478076312337981</x:v>
      </x:c>
      <x:c r="D21" s="26" t="n">
        <x:v>0.5656953049030667</x:v>
      </x:c>
      <x:c r="E21" s="16" t="n">
        <x:v>0.17761505725082566</x:v>
      </x:c>
      <x:c r="F21" s="16" t="n">
        <x:v>0.004617506661824102</x:v>
      </x:c>
      <x:c r="G21" s="16" t="n">
        <x:v>0.1369500279743457</x:v>
      </x:c>
      <x:c r="H21" s="16" t="n">
        <x:v>0.2591401944083192</x:v>
      </x:c>
      <x:c r="I21" s="16" t="n">
        <x:v>0.22925396446019594</x:v>
      </x:c>
      <x:c r="J21" s="16" t="n">
        <x:v>0.1924232492444894</x:v>
      </x:c>
    </x:row>
    <x:row r="22">
      <x:c r="A22" t="str">
        <x:v>P021</x:v>
      </x:c>
      <x:c r="B22" s="24" t="n">
        <x:v>0.09287406754709315</x:v>
      </x:c>
      <x:c r="C22" s="24" t="n">
        <x:v>0.08093685783100862</x:v>
      </x:c>
      <x:c r="D22" s="26" t="n">
        <x:v>0.6532755158038267</x:v>
      </x:c>
      <x:c r="E22" s="16" t="n">
        <x:v>0.17385598104705494</x:v>
      </x:c>
      <x:c r="F22" s="16" t="n">
        <x:v>0.22840701819260142</x:v>
      </x:c>
      <x:c r="G22" s="16" t="n">
        <x:v>0.08148867909510898</x:v>
      </x:c>
      <x:c r="H22" s="16" t="n">
        <x:v>0.11023146945575857</x:v>
      </x:c>
      <x:c r="I22" s="16" t="n">
        <x:v>0.17639497565724455</x:v>
      </x:c>
      <x:c r="J22" s="16" t="n">
        <x:v>0.22962187655223165</x:v>
      </x:c>
    </x:row>
    <x:row r="23">
      <x:c r="A23" t="str">
        <x:v>P022</x:v>
      </x:c>
      <x:c r="B23" s="24" t="n">
        <x:v>0.07166861584117967</x:v>
      </x:c>
      <x:c r="C23" s="24" t="n">
        <x:v>0.06642728743732056</x:v>
      </x:c>
      <x:c r="D23" s="26" t="n">
        <x:v>0.4767410662532553</x:v>
      </x:c>
      <x:c r="E23" s="16" t="n">
        <x:v>0.1667041990402742</x:v>
      </x:c>
      <x:c r="F23" s="16" t="n">
        <x:v>0.087389540955499</x:v>
      </x:c>
      <x:c r="G23" s="16" t="n">
        <x:v>0.14121924073882305</x:v>
      </x:c>
      <x:c r="H23" s="16" t="n">
        <x:v>0.22769688737108057</x:v>
      </x:c>
      <x:c r="I23" s="16" t="n">
        <x:v>0.051072713584501626</x:v>
      </x:c>
      <x:c r="J23" s="16" t="n">
        <x:v>0.32591741830982157</x:v>
      </x:c>
    </x:row>
    <x:row r="24">
      <x:c r="A24" t="str">
        <x:v>P023</x:v>
      </x:c>
      <x:c r="B24" s="24" t="n">
        <x:v>0.07334810002068481</x:v>
      </x:c>
      <x:c r="C24" s="24" t="n">
        <x:v>0.06787612375936057</x:v>
      </x:c>
      <x:c r="D24" s="26" t="n">
        <x:v>0.4913082564778294</x:v>
      </x:c>
      <x:c r="E24" s="16" t="n">
        <x:v>0.21721477278250692</x:v>
      </x:c>
      <x:c r="F24" s="16" t="n">
        <x:v>0.08291363750297576</x:v>
      </x:c>
      <x:c r="G24" s="16" t="n">
        <x:v>0.23172812348927427</x:v>
      </x:c>
      <x:c r="H24" s="16" t="n">
        <x:v>0.10167479604112643</x:v>
      </x:c>
      <x:c r="I24" s="16" t="n">
        <x:v>0.12980932412482354</x:v>
      </x:c>
      <x:c r="J24" s="16" t="n">
        <x:v>0.23665934605929317</x:v>
      </x:c>
    </x:row>
    <x:row r="25">
      <x:c r="A25" t="str">
        <x:v>P024</x:v>
      </x:c>
      <x:c r="B25" s="24" t="n">
        <x:v>0.08136000411961941</x:v>
      </x:c>
      <x:c r="C25" s="24" t="n">
        <x:v>0.06446757381835265</x:v>
      </x:c>
      <x:c r="D25" s="26" t="n">
        <x:v>0.6415629078295643</x:v>
      </x:c>
      <x:c r="E25" s="16" t="n">
        <x:v>0.20961443014137277</x:v>
      </x:c>
      <x:c r="F25" s="16" t="n">
        <x:v>0.1492352680145453</x:v>
      </x:c>
      <x:c r="G25" s="16" t="n">
        <x:v>0.22275885595196587</x:v>
      </x:c>
      <x:c r="H25" s="16" t="n">
        <x:v>0.139728684183308</x:v>
      </x:c>
      <x:c r="I25" s="16" t="n">
        <x:v>0.2130213861031784</x:v>
      </x:c>
      <x:c r="J25" s="16" t="n">
        <x:v>0.06564137560562962</x:v>
      </x:c>
    </x:row>
    <x:row r="26">
      <x:c r="A26" t="str">
        <x:v>P025</x:v>
      </x:c>
      <x:c r="B26" s="24" t="n">
        <x:v>0.08174316029665984</x:v>
      </x:c>
      <x:c r="C26" s="24" t="n">
        <x:v>0.0732545857441523</x:v>
      </x:c>
      <x:c r="D26" s="26" t="n">
        <x:v>0.5698368214442067</x:v>
      </x:c>
      <x:c r="E26" s="16" t="n">
        <x:v>0.028349171346594662</x:v>
      </x:c>
      <x:c r="F26" s="16" t="n">
        <x:v>0.2208919890625386</x:v>
      </x:c>
      <x:c r="G26" s="16" t="n">
        <x:v>0.1930672018522775</x:v>
      </x:c>
      <x:c r="H26" s="16" t="n">
        <x:v>0.1698416916083606</x:v>
      </x:c>
      <x:c r="I26" s="16" t="n">
        <x:v>0.04331053994947262</x:v>
      </x:c>
      <x:c r="J26" s="16" t="n">
        <x:v>0.34453940618075607</x:v>
      </x:c>
    </x:row>
    <x:row r="27">
      <x:c r="A27" t="str">
        <x:v>P026</x:v>
      </x:c>
      <x:c r="B27" s="24" t="n">
        <x:v>0.10026250292131222</x:v>
      </x:c>
      <x:c r="C27" s="24" t="n">
        <x:v>0.0835008684453342</x:v>
      </x:c>
      <x:c r="D27" s="26" t="n">
        <x:v>0.7216991157494904</x:v>
      </x:c>
      <x:c r="E27" s="16" t="n">
        <x:v>0.031214163113342838</x:v>
      </x:c>
      <x:c r="F27" s="16" t="n">
        <x:v>0.27026158630302155</x:v>
      </x:c>
      <x:c r="G27" s="16" t="n">
        <x:v>0.08886665518305199</x:v>
      </x:c>
      <x:c r="H27" s="16" t="n">
        <x:v>0.07872927170658581</x:v>
      </x:c>
      <x:c r="I27" s="16" t="n">
        <x:v>0.2625862329707891</x:v>
      </x:c>
      <x:c r="J27" s="16" t="n">
        <x:v>0.26834209072320864</x:v>
      </x:c>
    </x:row>
    <x:row r="28">
      <x:c r="A28" t="str">
        <x:v>P027</x:v>
      </x:c>
      <x:c r="B28" s="24" t="n">
        <x:v>0.09404027157629047</x:v>
      </x:c>
      <x:c r="C28" s="24" t="n">
        <x:v>0.07489547591275482</x:v>
      </x:c>
      <x:c r="D28" s="26" t="n">
        <x:v>0.7215425353494191</x:v>
      </x:c>
      <x:c r="E28" s="16" t="n">
        <x:v>0.19455930598671947</x:v>
      </x:c>
      <x:c r="F28" s="16" t="n">
        <x:v>0.2652491854370787</x:v>
      </x:c>
      <x:c r="G28" s="16" t="n">
        <x:v>0.0485878230019569</x:v>
      </x:c>
      <x:c r="H28" s="16" t="n">
        <x:v>0.2378718252136721</x:v>
      </x:c>
      <x:c r="I28" s="16" t="n">
        <x:v>0.17166111688337707</x:v>
      </x:c>
      <x:c r="J28" s="16" t="n">
        <x:v>0.08207074347719583</x:v>
      </x:c>
    </x:row>
    <x:row r="29">
      <x:c r="A29" t="str">
        <x:v>P028</x:v>
      </x:c>
      <x:c r="B29" s="24" t="n">
        <x:v>0.05952787132806958</x:v>
      </x:c>
      <x:c r="C29" s="24" t="n">
        <x:v>0.05238016630278966</x:v>
      </x:c>
      <x:c r="D29" s="26" t="n">
        <x:v>0.37281041100912976</x:v>
      </x:c>
      <x:c r="E29" s="16" t="n">
        <x:v>0.2418338616647198</x:v>
      </x:c>
      <x:c r="F29" s="16" t="n">
        <x:v>0.04431409525533025</x:v>
      </x:c>
      <x:c r="G29" s="16" t="n">
        <x:v>0.3211258882086879</x:v>
      </x:c>
      <x:c r="H29" s="16" t="n">
        <x:v>0.2602602024203213</x:v>
      </x:c>
      <x:c r="I29" s="16" t="n">
        <x:v>0.043401519953127125</x:v>
      </x:c>
      <x:c r="J29" s="16" t="n">
        <x:v>0.08906443249781369</x:v>
      </x:c>
    </x:row>
    <x:row r="30">
      <x:c r="A30" t="str">
        <x:v>P029</x:v>
      </x:c>
      <x:c r="B30" s="24" t="n">
        <x:v>0.09522112129337978</x:v>
      </x:c>
      <x:c r="C30" s="24" t="n">
        <x:v>0.07329280306459487</x:v>
      </x:c>
      <x:c r="D30" s="26" t="n">
        <x:v>0.7534317011277623</x:v>
      </x:c>
      <x:c r="E30" s="16" t="n">
        <x:v>0.14644833074921565</x:v>
      </x:c>
      <x:c r="F30" s="16" t="n">
        <x:v>0.23779569881146806</x:v>
      </x:c>
      <x:c r="G30" s="16" t="n">
        <x:v>0.11576972338687261</x:v>
      </x:c>
      <x:c r="H30" s="16" t="n">
        <x:v>0.14936903783711222</x:v>
      </x:c>
      <x:c r="I30" s="16" t="n">
        <x:v>0.27683335821253674</x:v>
      </x:c>
      <x:c r="J30" s="16" t="n">
        <x:v>0.07378385100279472</x:v>
      </x:c>
    </x:row>
    <x:row r="31">
      <x:c r="A31" t="str">
        <x:v>P030</x:v>
      </x:c>
      <x:c r="B31" s="24" t="n">
        <x:v>0.07729603165960586</x:v>
      </x:c>
      <x:c r="C31" s="24" t="n">
        <x:v>0.07432017758248954</x:v>
      </x:c>
      <x:c r="D31" s="26" t="n">
        <x:v>0.5018291515545721</x:v>
      </x:c>
      <x:c r="E31" s="16" t="n">
        <x:v>0.23296041567286166</x:v>
      </x:c>
      <x:c r="F31" s="16" t="n">
        <x:v>0.1393361173268437</x:v>
      </x:c>
      <x:c r="G31" s="16" t="n">
        <x:v>0.12589422168306416</x:v>
      </x:c>
      <x:c r="H31" s="16" t="n">
        <x:v>0.17734588954129826</x:v>
      </x:c>
      <x:c r="I31" s="16" t="n">
        <x:v>0.04876313917058022</x:v>
      </x:c>
      <x:c r="J31" s="16" t="n">
        <x:v>0.27570021660535193</x:v>
      </x:c>
    </x:row>
    <x:row r="32">
      <x:c r="A32" t="str">
        <x:v>P031</x:v>
      </x:c>
      <x:c r="B32" s="24" t="n">
        <x:v>0.08223619238986335</x:v>
      </x:c>
      <x:c r="C32" s="24" t="n">
        <x:v>0.06928773114311937</x:v>
      </x:c>
      <x:c r="D32" s="26" t="n">
        <x:v>0.6095767849956164</x:v>
      </x:c>
      <x:c r="E32" s="16" t="n">
        <x:v>0.033472464242687065</x:v>
      </x:c>
      <x:c r="F32" s="16" t="n">
        <x:v>0.15902667283797967</x:v>
      </x:c>
      <x:c r="G32" s="16" t="n">
        <x:v>0.28047305909892056</x:v>
      </x:c>
      <x:c r="H32" s="16" t="n">
        <x:v>0.04045762809270036</x:v>
      </x:c>
      <x:c r="I32" s="16" t="n">
        <x:v>0.20311771406459556</x:v>
      </x:c>
      <x:c r="J32" s="16" t="n">
        <x:v>0.2834524616631168</x:v>
      </x:c>
    </x:row>
    <x:row r="33">
      <x:c r="A33" t="str">
        <x:v>P032</x:v>
      </x:c>
      <x:c r="B33" s="24" t="n">
        <x:v>0.07453957145188972</x:v>
      </x:c>
      <x:c r="C33" s="24" t="n">
        <x:v>0.063231027061799</x:v>
      </x:c>
      <x:c r="D33" s="26" t="n">
        <x:v>0.5462440364622321</x:v>
      </x:c>
      <x:c r="E33" s="16" t="n">
        <x:v>0.22585942141691623</x:v>
      </x:c>
      <x:c r="F33" s="16" t="n">
        <x:v>0.07886874263865168</x:v>
      </x:c>
      <x:c r="G33" s="16" t="n">
        <x:v>0.1419266217986679</x:v>
      </x:c>
      <x:c r="H33" s="16" t="n">
        <x:v>0.21373613392494933</x:v>
      </x:c>
      <x:c r="I33" s="16" t="n">
        <x:v>0.141648684884832</x:v>
      </x:c>
      <x:c r="J33" s="16" t="n">
        <x:v>0.1979603953359828</x:v>
      </x:c>
    </x:row>
    <x:row r="34">
      <x:c r="A34" t="str">
        <x:v>P033</x:v>
      </x:c>
      <x:c r="B34" s="24" t="n">
        <x:v>0.06849875295931707</x:v>
      </x:c>
      <x:c r="C34" s="24" t="n">
        <x:v>0.05423502892414885</x:v>
      </x:c>
      <x:c r="D34" s="26" t="n">
        <x:v>0.525467645627596</x:v>
      </x:c>
      <x:c r="E34" s="16" t="n">
        <x:v>0.2424998634669419</x:v>
      </x:c>
      <x:c r="F34" s="16" t="n">
        <x:v>0.012827864934921173</x:v>
      </x:c>
      <x:c r="G34" s="16" t="n">
        <x:v>0.12011666339778668</x:v>
      </x:c>
      <x:c r="H34" s="16" t="n">
        <x:v>0.31072332447798584</x:v>
      </x:c>
      <x:c r="I34" s="16" t="n">
        <x:v>0.1629702702107387</x:v>
      </x:c>
      <x:c r="J34" s="16" t="n">
        <x:v>0.1508620135116256</x:v>
      </x:c>
    </x:row>
    <x:row r="35">
      <x:c r="A35" t="str">
        <x:v>P034</x:v>
      </x:c>
      <x:c r="B35" s="24" t="n">
        <x:v>0.07744203984850606</x:v>
      </x:c>
      <x:c r="C35" s="24" t="n">
        <x:v>0.054507849049406365</x:v>
      </x:c>
      <x:c r="D35" s="26" t="n">
        <x:v>0.6869109770698948</x:v>
      </x:c>
      <x:c r="E35" s="16" t="n">
        <x:v>0.12424589410879773</x:v>
      </x:c>
      <x:c r="F35" s="16" t="n">
        <x:v>0.0650878660549703</x:v>
      </x:c>
      <x:c r="G35" s="16" t="n">
        <x:v>0.27254595737815696</x:v>
      </x:c>
      <x:c r="H35" s="16" t="n">
        <x:v>0.1610896819738976</x:v>
      </x:c>
      <x:c r="I35" s="16" t="n">
        <x:v>0.35943189538547776</x:v>
      </x:c>
      <x:c r="J35" s="16" t="n">
        <x:v>0.01759870509869962</x:v>
      </x:c>
    </x:row>
    <x:row r="36">
      <x:c r="A36" t="str">
        <x:v>P035</x:v>
      </x:c>
      <x:c r="B36" s="24" t="n">
        <x:v>0.07078437235856527</x:v>
      </x:c>
      <x:c r="C36" s="24" t="n">
        <x:v>0.06083482521740573</x:v>
      </x:c>
      <x:c r="D36" s="26" t="n">
        <x:v>0.5060320671350826</x:v>
      </x:c>
      <x:c r="E36" s="16" t="n">
        <x:v>0.25422122901842636</x:v>
      </x:c>
      <x:c r="F36" s="16" t="n">
        <x:v>0.02685682040412551</x:v>
      </x:c>
      <x:c r="G36" s="16" t="n">
        <x:v>0.23944181393361022</x:v>
      </x:c>
      <x:c r="H36" s="16" t="n">
        <x:v>0.1331729675519934</x:v>
      </x:c>
      <x:c r="I36" s="16" t="n">
        <x:v>0.21520938636283213</x:v>
      </x:c>
      <x:c r="J36" s="16" t="n">
        <x:v>0.1310977827290123</x:v>
      </x:c>
    </x:row>
    <x:row r="37">
      <x:c r="A37" t="str">
        <x:v>P036</x:v>
      </x:c>
      <x:c r="B37" s="24" t="n">
        <x:v>0.0983701550200784</x:v>
      </x:c>
      <x:c r="C37" s="24" t="n">
        <x:v>0.0801895134150041</x:v>
      </x:c>
      <x:c r="D37" s="26" t="n">
        <x:v>0.7279025964155167</x:v>
      </x:c>
      <x:c r="E37" s="16" t="n">
        <x:v>0.057229744373628946</x:v>
      </x:c>
      <x:c r="F37" s="16" t="n">
        <x:v>0.3422864479229686</x:v>
      </x:c>
      <x:c r="G37" s="16" t="n">
        <x:v>0.23192777238783036</x:v>
      </x:c>
      <x:c r="H37" s="16" t="n">
        <x:v>0.077546653897948</x:v>
      </x:c>
      <x:c r="I37" s="16" t="n">
        <x:v>0.2153353413261441</x:v>
      </x:c>
      <x:c r="J37" s="16" t="n">
        <x:v>0.07567404009148007</x:v>
      </x:c>
    </x:row>
    <x:row r="38">
      <x:c r="A38" t="str">
        <x:v>P037</x:v>
      </x:c>
      <x:c r="B38" s="24" t="n">
        <x:v>0.08540418157554508</x:v>
      </x:c>
      <x:c r="C38" s="24" t="n">
        <x:v>0.07977280876649749</x:v>
      </x:c>
      <x:c r="D38" s="26" t="n">
        <x:v>0.5691686462795535</x:v>
      </x:c>
      <x:c r="E38" s="16" t="n">
        <x:v>0.1698672600980505</x:v>
      </x:c>
      <x:c r="F38" s="16" t="n">
        <x:v>0.2515549812898118</x:v>
      </x:c>
      <x:c r="G38" s="16" t="n">
        <x:v>0.25791249633787466</x:v>
      </x:c>
      <x:c r="H38" s="16" t="n">
        <x:v>0.04561679035872533</x:v>
      </x:c>
      <x:c r="I38" s="16" t="n">
        <x:v>0.08138295077897183</x:v>
      </x:c>
      <x:c r="J38" s="16" t="n">
        <x:v>0.193665521136566</x:v>
      </x:c>
    </x:row>
    <x:row r="39">
      <x:c r="A39" t="str">
        <x:v>P038</x:v>
      </x:c>
      <x:c r="B39" s="24" t="n">
        <x:v>0.086053975262808</x:v>
      </x:c>
      <x:c r="C39" s="24" t="n">
        <x:v>0.06767743976173948</x:v>
      </x:c>
      <x:c r="D39" s="26" t="n">
        <x:v>0.6804922796273388</x:v>
      </x:c>
      <x:c r="E39" s="16" t="n">
        <x:v>0.15551198368908287</x:v>
      </x:c>
      <x:c r="F39" s="16" t="n">
        <x:v>0.2582772823058018</x:v>
      </x:c>
      <x:c r="G39" s="16" t="n">
        <x:v>0.17376233487895373</x:v>
      </x:c>
      <x:c r="H39" s="16" t="n">
        <x:v>0.2445006419800051</x:v>
      </x:c>
      <x:c r="I39" s="16" t="n">
        <x:v>0.1113882869682431</x:v>
      </x:c>
      <x:c r="J39" s="16" t="n">
        <x:v>0.056559470177913414</x:v>
      </x:c>
    </x:row>
    <x:row r="40">
      <x:c r="A40" t="str">
        <x:v>P039</x:v>
      </x:c>
      <x:c r="B40" s="24" t="n">
        <x:v>0.07519770928458036</x:v>
      </x:c>
      <x:c r="C40" s="24" t="n">
        <x:v>0.05189934594201114</x:v>
      </x:c>
      <x:c r="D40" s="26" t="n">
        <x:v>0.6781917699677358</x:v>
      </x:c>
      <x:c r="E40" s="16" t="n">
        <x:v>0.11746497185961574</x:v>
      </x:c>
      <x:c r="F40" s="16" t="n">
        <x:v>0.010488820359136697</x:v>
      </x:c>
      <x:c r="G40" s="16" t="n">
        <x:v>0.15292793197902715</x:v>
      </x:c>
      <x:c r="H40" s="16" t="n">
        <x:v>0.26689776025633616</x:v>
      </x:c>
      <x:c r="I40" s="16" t="n">
        <x:v>0.35361189082667926</x:v>
      </x:c>
      <x:c r="J40" s="16" t="n">
        <x:v>0.09860862471920484</x:v>
      </x:c>
    </x:row>
    <x:row r="41">
      <x:c r="A41" t="str">
        <x:v>P040</x:v>
      </x:c>
      <x:c r="B41" s="24" t="n">
        <x:v>0.0815534877745987</x:v>
      </x:c>
      <x:c r="C41" s="24" t="n">
        <x:v>0.06324278376006108</x:v>
      </x:c>
      <x:c r="D41" s="26" t="n">
        <x:v>0.6570471017254691</x:v>
      </x:c>
      <x:c r="E41" s="16" t="n">
        <x:v>0.1706299084996256</x:v>
      </x:c>
      <x:c r="F41" s="16" t="n">
        <x:v>0.18191378094922955</x:v>
      </x:c>
      <x:c r="G41" s="16" t="n">
        <x:v>0.16711277134052935</x:v>
      </x:c>
      <x:c r="H41" s="16" t="n">
        <x:v>0.23291153342440932</x:v>
      </x:c>
      <x:c r="I41" s="16" t="n">
        <x:v>0.14019553901397597</x:v>
      </x:c>
      <x:c r="J41" s="16" t="n">
        <x:v>0.10723646677223027</x:v>
      </x:c>
    </x:row>
    <x:row r="42">
      <x:c r="A42" t="str">
        <x:v>P041</x:v>
      </x:c>
      <x:c r="B42" s="24" t="n">
        <x:v>0.07477339685254747</x:v>
      </x:c>
      <x:c r="C42" s="24" t="n">
        <x:v>0.061080625236840345</x:v>
      </x:c>
      <x:c r="D42" s="26" t="n">
        <x:v>0.5693032236934952</x:v>
      </x:c>
      <x:c r="E42" s="16" t="n">
        <x:v>0.34555082739304177</x:v>
      </x:c>
      <x:c r="F42" s="16" t="n">
        <x:v>0.003065313934933018</x:v>
      </x:c>
      <x:c r="G42" s="16" t="n">
        <x:v>0.004327600836192077</x:v>
      </x:c>
      <x:c r="H42" s="16" t="n">
        <x:v>0.31774318056523115</x:v>
      </x:c>
      <x:c r="I42" s="16" t="n">
        <x:v>0.2424223559997936</x:v>
      </x:c>
      <x:c r="J42" s="16" t="n">
        <x:v>0.08689072127080824</x:v>
      </x:c>
    </x:row>
    <x:row r="43">
      <x:c r="A43" t="str">
        <x:v>P042</x:v>
      </x:c>
      <x:c r="B43" s="24" t="n">
        <x:v>0.09214221713799464</x:v>
      </x:c>
      <x:c r="C43" s="24" t="n">
        <x:v>0.06893263213494599</x:v>
      </x:c>
      <x:c r="D43" s="26" t="n">
        <x:v>0.7564228366605589</x:v>
      </x:c>
      <x:c r="E43" s="16" t="n">
        <x:v>0.12938072284203245</x:v>
      </x:c>
      <x:c r="F43" s="16" t="n">
        <x:v>0.2342501096486453</x:v>
      </x:c>
      <x:c r="G43" s="16" t="n">
        <x:v>0.19091373974112896</x:v>
      </x:c>
      <x:c r="H43" s="16" t="n">
        <x:v>0.1447621043871883</x:v>
      </x:c>
      <x:c r="I43" s="16" t="n">
        <x:v>0.28120920725586057</x:v>
      </x:c>
      <x:c r="J43" s="16" t="n">
        <x:v>0.019484116125144457</x:v>
      </x:c>
    </x:row>
    <x:row r="44">
      <x:c r="A44" t="str">
        <x:v>P043</x:v>
      </x:c>
      <x:c r="B44" s="24" t="n">
        <x:v>0.08700782195503232</x:v>
      </x:c>
      <x:c r="C44" s="24" t="n">
        <x:v>0.07066930932006142</x:v>
      </x:c>
      <x:c r="D44" s="26" t="n">
        <x:v>0.6651801525628871</x:v>
      </x:c>
      <x:c r="E44" s="16" t="n">
        <x:v>0.2074991680085722</x:v>
      </x:c>
      <x:c r="F44" s="16" t="n">
        <x:v>0.15902604652340854</x:v>
      </x:c>
      <x:c r="G44" s="16" t="n">
        <x:v>0.0982273381282828</x:v>
      </x:c>
      <x:c r="H44" s="16" t="n">
        <x:v>0.16197630437005334</x:v>
      </x:c>
      <x:c r="I44" s="16" t="n">
        <x:v>0.2199336911718878</x:v>
      </x:c>
      <x:c r="J44" s="16" t="n">
        <x:v>0.15333745179779532</x:v>
      </x:c>
    </x:row>
    <x:row r="45">
      <x:c r="A45" t="str">
        <x:v>P044</x:v>
      </x:c>
      <x:c r="B45" s="24" t="n">
        <x:v>0.07627253752092877</x:v>
      </x:c>
      <x:c r="C45" s="24" t="n">
        <x:v>0.05989163018211646</x:v>
      </x:c>
      <x:c r="D45" s="26" t="n">
        <x:v>0.6056361700396609</x:v>
      </x:c>
      <x:c r="E45" s="16" t="n">
        <x:v>0.1922052193808996</x:v>
      </x:c>
      <x:c r="F45" s="16" t="n">
        <x:v>0.2019122031932278</x:v>
      </x:c>
      <x:c r="G45" s="16" t="n">
        <x:v>0.26333585136784177</x:v>
      </x:c>
      <x:c r="H45" s="16" t="n">
        <x:v>0.2557562318079049</x:v>
      </x:c>
      <x:c r="I45" s="16" t="n">
        <x:v>0.0803404225187479</x:v>
      </x:c>
      <x:c r="J45" s="16" t="n">
        <x:v>0.006450071731377968</x:v>
      </x:c>
    </x:row>
    <x:row r="46">
      <x:c r="A46" t="str">
        <x:v>P045</x:v>
      </x:c>
      <x:c r="B46" s="24" t="n">
        <x:v>0.09150530149826053</x:v>
      </x:c>
      <x:c r="C46" s="24" t="n">
        <x:v>0.0658242060816643</x:v>
      </x:c>
      <x:c r="D46" s="26" t="n">
        <x:v>0.7824674927998504</x:v>
      </x:c>
      <x:c r="E46" s="16" t="n">
        <x:v>0.11229658896313291</x:v>
      </x:c>
      <x:c r="F46" s="16" t="n">
        <x:v>0.1471444343468306</x:v>
      </x:c>
      <x:c r="G46" s="16" t="n">
        <x:v>0.10002438419576304</x:v>
      </x:c>
      <x:c r="H46" s="16" t="n">
        <x:v>0.18484810275428398</x:v>
      </x:c>
      <x:c r="I46" s="16" t="n">
        <x:v>0.37914711982883287</x:v>
      </x:c>
      <x:c r="J46" s="16" t="n">
        <x:v>0.07653936991115656</x:v>
      </x:c>
    </x:row>
    <x:row r="47">
      <x:c r="A47" t="str">
        <x:v>P046</x:v>
      </x:c>
      <x:c r="B47" s="24" t="n">
        <x:v>0.0984294511319177</x:v>
      </x:c>
      <x:c r="C47" s="24" t="n">
        <x:v>0.0854051331547682</x:v>
      </x:c>
      <x:c r="D47" s="26" t="n">
        <x:v>0.6841444884353015</x:v>
      </x:c>
      <x:c r="E47" s="16" t="n">
        <x:v>0.12639819090680618</x:v>
      </x:c>
      <x:c r="F47" s="16" t="n">
        <x:v>0.2760027050878169</x:v>
      </x:c>
      <x:c r="G47" s="16" t="n">
        <x:v>0.043423528989874144</x:v>
      </x:c>
      <x:c r="H47" s="16" t="n">
        <x:v>0.11674952101095633</x:v>
      </x:c>
      <x:c r="I47" s="16" t="n">
        <x:v>0.182521339773376</x:v>
      </x:c>
      <x:c r="J47" s="16" t="n">
        <x:v>0.2549047142311703</x:v>
      </x:c>
    </x:row>
    <x:row r="48">
      <x:c r="A48" t="str">
        <x:v>P047</x:v>
      </x:c>
      <x:c r="B48" s="24" t="n">
        <x:v>0.06481359790535057</x:v>
      </x:c>
      <x:c r="C48" s="24" t="n">
        <x:v>0.06338147182604977</x:v>
      </x:c>
      <x:c r="D48" s="26" t="n">
        <x:v>0.3914960822218109</x:v>
      </x:c>
      <x:c r="E48" s="16" t="n">
        <x:v>0.30835431360848314</x:v>
      </x:c>
      <x:c r="F48" s="16" t="n">
        <x:v>0.0915858532590065</x:v>
      </x:c>
      <x:c r="G48" s="16" t="n">
        <x:v>0.3407366595010813</x:v>
      </x:c>
      <x:c r="H48" s="16" t="n">
        <x:v>0.1555836298962959</x:v>
      </x:c>
      <x:c r="I48" s="16" t="n">
        <x:v>0.04685934937671061</x:v>
      </x:c>
      <x:c r="J48" s="16" t="n">
        <x:v>0.05688019435842247</x:v>
      </x:c>
    </x:row>
    <x:row r="49">
      <x:c r="A49" t="str">
        <x:v>P048</x:v>
      </x:c>
      <x:c r="B49" s="24" t="n">
        <x:v>0.10148106864494943</x:v>
      </x:c>
      <x:c r="C49" s="24" t="n">
        <x:v>0.08791352392673332</x:v>
      </x:c>
      <x:c r="D49" s="26" t="n">
        <x:v>0.6993357324202751</x:v>
      </x:c>
      <x:c r="E49" s="16" t="n">
        <x:v>0.13837251566093975</x:v>
      </x:c>
      <x:c r="F49" s="16" t="n">
        <x:v>0.25684525529923496</x:v>
      </x:c>
      <x:c r="G49" s="16" t="n">
        <x:v>0.02182495737404556</x:v>
      </x:c>
      <x:c r="H49" s="16" t="n">
        <x:v>0.0688134320547517</x:v>
      </x:c>
      <x:c r="I49" s="16" t="n">
        <x:v>0.2536509541405955</x:v>
      </x:c>
      <x:c r="J49" s="16" t="n">
        <x:v>0.2604928854704325</x:v>
      </x:c>
    </x:row>
    <x:row r="50">
      <x:c r="A50" t="str">
        <x:v>P049</x:v>
      </x:c>
      <x:c r="B50" s="24" t="n">
        <x:v>0.05697509646114174</x:v>
      </x:c>
      <x:c r="C50" s="24" t="n">
        <x:v>0.044404592583531306</x:v>
      </x:c>
      <x:c r="D50" s="26" t="n">
        <x:v>0.38228245038413955</x:v>
      </x:c>
      <x:c r="E50" s="16" t="n">
        <x:v>0.08786109828905803</x:v>
      </x:c>
      <x:c r="F50" s="16" t="n">
        <x:v>0.024698206215047962</x:v>
      </x:c>
      <x:c r="G50" s="16" t="n">
        <x:v>0.2872842343600637</x:v>
      </x:c>
      <x:c r="H50" s="16" t="n">
        <x:v>0.348739330088042</x:v>
      </x:c>
      <x:c r="I50" s="16" t="n">
        <x:v>0.021860781152702246</x:v>
      </x:c>
      <x:c r="J50" s="16" t="n">
        <x:v>0.22955634989508616</x:v>
      </x:c>
    </x:row>
    <x:row r="51">
      <x:c r="A51" t="str">
        <x:v>P050</x:v>
      </x:c>
      <x:c r="B51" s="24" t="n">
        <x:v>0.09855129599280898</x:v>
      </x:c>
      <x:c r="C51" s="24" t="n">
        <x:v>0.08873094835036009</x:v>
      </x:c>
      <x:c r="D51" s="26" t="n">
        <x:v>0.6598745655418363</x:v>
      </x:c>
      <x:c r="E51" s="16" t="n">
        <x:v>0.05731626759954677</x:v>
      </x:c>
      <x:c r="F51" s="16" t="n">
        <x:v>0.24282575243531768</x:v>
      </x:c>
      <x:c r="G51" s="16" t="n">
        <x:v>0.04544081008011044</x:v>
      </x:c>
      <x:c r="H51" s="16" t="n">
        <x:v>0.053257984531987206</x:v>
      </x:c>
      <x:c r="I51" s="16" t="n">
        <x:v>0.21845162722801748</x:v>
      </x:c>
      <x:c r="J51" s="16" t="n">
        <x:v>0.38270755812502033</x:v>
      </x:c>
    </x:row>
    <x:row r="52">
      <x:c r="A52" t="str">
        <x:v>P051</x:v>
      </x:c>
      <x:c r="B52" s="24" t="n">
        <x:v>0.06791739982665934</x:v>
      </x:c>
      <x:c r="C52" s="24" t="n">
        <x:v>0.03764022154548635</x:v>
      </x:c>
      <x:c r="D52" s="26" t="n">
        <x:v>0.7416906351872169</x:v>
      </x:c>
      <x:c r="E52" s="16" t="n">
        <x:v>0.017263728130612666</x:v>
      </x:c>
      <x:c r="F52" s="16" t="n">
        <x:v>0.059989388384399225</x:v>
      </x:c>
      <x:c r="G52" s="16" t="n">
        <x:v>0.12188510783838243</x:v>
      </x:c>
      <x:c r="H52" s="16" t="n">
        <x:v>0.4916776395039851</x:v>
      </x:c>
      <x:c r="I52" s="16" t="n">
        <x:v>0.14501538636804348</x:v>
      </x:c>
      <x:c r="J52" s="16" t="n">
        <x:v>0.16416874977457716</x:v>
      </x:c>
    </x:row>
    <x:row r="53">
      <x:c r="A53" t="str">
        <x:v>P052</x:v>
      </x:c>
      <x:c r="B53" s="24" t="n">
        <x:v>0.09524232750134476</x:v>
      </x:c>
      <x:c r="C53" s="24" t="n">
        <x:v>0.07991667389080069</x:v>
      </x:c>
      <x:c r="D53" s="26" t="n">
        <x:v>0.6912490824734357</x:v>
      </x:c>
      <x:c r="E53" s="16" t="n">
        <x:v>0.1425185784490674</x:v>
      </x:c>
      <x:c r="F53" s="16" t="n">
        <x:v>0.28439710550881275</x:v>
      </x:c>
      <x:c r="G53" s="16" t="n">
        <x:v>0.09302833599058384</x:v>
      </x:c>
      <x:c r="H53" s="16" t="n">
        <x:v>0.15657641858360327</x:v>
      </x:c>
      <x:c r="I53" s="16" t="n">
        <x:v>0.1576535116679167</x:v>
      </x:c>
      <x:c r="J53" s="16" t="n">
        <x:v>0.165826049800016</x:v>
      </x:c>
    </x:row>
    <x:row r="54">
      <x:c r="A54" t="str">
        <x:v>P053</x:v>
      </x:c>
      <x:c r="B54" s="24" t="n">
        <x:v>0.09051333058703293</x:v>
      </x:c>
      <x:c r="C54" s="24" t="n">
        <x:v>0.08463894716236342</x:v>
      </x:c>
      <x:c r="D54" s="26" t="n">
        <x:v>0.596809533678779</x:v>
      </x:c>
      <x:c r="E54" s="16" t="n">
        <x:v>0.15074925495826963</x:v>
      </x:c>
      <x:c r="F54" s="16" t="n">
        <x:v>0.27221024675637623</x:v>
      </x:c>
      <x:c r="G54" s="16" t="n">
        <x:v>0.06758711087509335</x:v>
      </x:c>
      <x:c r="H54" s="16" t="n">
        <x:v>0.17054153438258676</x:v>
      </x:c>
      <x:c r="I54" s="16" t="n">
        <x:v>0.044301288484073456</x:v>
      </x:c>
      <x:c r="J54" s="16" t="n">
        <x:v>0.2946105645436006</x:v>
      </x:c>
    </x:row>
    <x:row r="55">
      <x:c r="A55" t="str">
        <x:v>P054</x:v>
      </x:c>
      <x:c r="B55" s="24" t="n">
        <x:v>0.09761590124876407</x:v>
      </x:c>
      <x:c r="C55" s="24" t="n">
        <x:v>0.07920100145317042</x:v>
      </x:c>
      <x:c r="D55" s="26" t="n">
        <x:v>0.7274643021127821</x:v>
      </x:c>
      <x:c r="E55" s="16" t="n">
        <x:v>0.12111261627941872</x:v>
      </x:c>
      <x:c r="F55" s="16" t="n">
        <x:v>0.28443896166661065</x:v>
      </x:c>
      <x:c r="G55" s="16" t="n">
        <x:v>0.1890337578468901</x:v>
      </x:c>
      <x:c r="H55" s="16" t="n">
        <x:v>0.05816161397051741</x:v>
      </x:c>
      <x:c r="I55" s="16" t="n">
        <x:v>0.2635788628297664</x:v>
      </x:c>
      <x:c r="J55" s="16" t="n">
        <x:v>0.08367418740679677</x:v>
      </x:c>
    </x:row>
    <x:row r="56">
      <x:c r="A56" t="str">
        <x:v>P055</x:v>
      </x:c>
      <x:c r="B56" s="24" t="n">
        <x:v>0.10117830282569318</x:v>
      </x:c>
      <x:c r="C56" s="24" t="n">
        <x:v>0.09238318580786986</x:v>
      </x:c>
      <x:c r="D56" s="26" t="n">
        <x:v>0.6622233503932874</x:v>
      </x:c>
      <x:c r="E56" s="16" t="n">
        <x:v>0.2578078736585631</x:v>
      </x:c>
      <x:c r="F56" s="16" t="n">
        <x:v>0.3090094450506385</x:v>
      </x:c>
      <x:c r="G56" s="16" t="n">
        <x:v>0.04171350569585801</x:v>
      </x:c>
      <x:c r="H56" s="16" t="n">
        <x:v>0.07435744137216693</x:v>
      </x:c>
      <x:c r="I56" s="16" t="n">
        <x:v>0.1723074004757359</x:v>
      </x:c>
      <x:c r="J56" s="16" t="n">
        <x:v>0.14480433374703747</x:v>
      </x:c>
    </x:row>
    <x:row r="57">
      <x:c r="A57" t="str">
        <x:v>P056</x:v>
      </x:c>
      <x:c r="B57" s="24" t="n">
        <x:v>0.07451126593120261</x:v>
      </x:c>
      <x:c r="C57" s="24" t="n">
        <x:v>0.050871632272338346</x:v>
      </x:c>
      <x:c r="D57" s="26" t="n">
        <x:v>0.6783990288821191</x:v>
      </x:c>
      <x:c r="E57" s="16" t="n">
        <x:v>0.1110485982847769</x:v>
      </x:c>
      <x:c r="F57" s="16" t="n">
        <x:v>0.09499018344222418</x:v>
      </x:c>
      <x:c r="G57" s="16" t="n">
        <x:v>0.12675587976576896</x:v>
      </x:c>
      <x:c r="H57" s="16" t="n">
        <x:v>0.3450717224185795</x:v>
      </x:c>
      <x:c r="I57" s="16" t="n">
        <x:v>0.16116826720142138</x:v>
      </x:c>
      <x:c r="J57" s="16" t="n">
        <x:v>0.16096534888722902</x:v>
      </x:c>
    </x:row>
    <x:row r="58">
      <x:c r="A58" t="str">
        <x:v>P057</x:v>
      </x:c>
      <x:c r="B58" s="24" t="n">
        <x:v>0.08032125431628545</x:v>
      </x:c>
      <x:c r="C58" s="24" t="n">
        <x:v>0.05114327468006636</x:v>
      </x:c>
      <x:c r="D58" s="26" t="n">
        <x:v>0.7883979774177639</x:v>
      </x:c>
      <x:c r="E58" s="16" t="n">
        <x:v>0.09487931091714157</x:v>
      </x:c>
      <x:c r="F58" s="16" t="n">
        <x:v>0.07184112176243114</x:v>
      </x:c>
      <x:c r="G58" s="16" t="n">
        <x:v>0.09750397387387909</x:v>
      </x:c>
      <x:c r="H58" s="16" t="n">
        <x:v>0.33543993717619025</x:v>
      </x:c>
      <x:c r="I58" s="16" t="n">
        <x:v>0.3356646205020151</x:v>
      </x:c>
      <x:c r="J58" s="16" t="n">
        <x:v>0.06467103576834302</x:v>
      </x:c>
    </x:row>
    <x:row r="59">
      <x:c r="A59" t="str">
        <x:v>P058</x:v>
      </x:c>
      <x:c r="B59" s="24" t="n">
        <x:v>0.08206480803849336</x:v>
      </x:c>
      <x:c r="C59" s="24" t="n">
        <x:v>0.08133247309561939</x:v>
      </x:c>
      <x:c r="D59" s="26" t="n">
        <x:v>0.5171957329889554</x:v>
      </x:c>
      <x:c r="E59" s="16" t="n">
        <x:v>0.153116210827574</x:v>
      </x:c>
      <x:c r="F59" s="16" t="n">
        <x:v>0.2240786686896172</x:v>
      </x:c>
      <x:c r="G59" s="16" t="n">
        <x:v>0.21367565909405023</x:v>
      </x:c>
      <x:c r="H59" s="16" t="n">
        <x:v>0.07775651353515226</x:v>
      </x:c>
      <x:c r="I59" s="16" t="n">
        <x:v>0.023830706169816775</x:v>
      </x:c>
      <x:c r="J59" s="16" t="n">
        <x:v>0.3075422416837895</x:v>
      </x:c>
    </x:row>
    <x:row r="60">
      <x:c r="A60" t="str">
        <x:v>P059</x:v>
      </x:c>
      <x:c r="B60" s="24" t="n">
        <x:v>0.0743373294609142</x:v>
      </x:c>
      <x:c r="C60" s="24" t="n">
        <x:v>0.05726180857456978</x:v>
      </x:c>
      <x:c r="D60" s="26" t="n">
        <x:v>0.5996549937153672</x:v>
      </x:c>
      <x:c r="E60" s="16" t="n">
        <x:v>0.040794712374557694</x:v>
      </x:c>
      <x:c r="F60" s="16" t="n">
        <x:v>0.12490047240545091</x:v>
      </x:c>
      <x:c r="G60" s="16" t="n">
        <x:v>0.23951889763282758</x:v>
      </x:c>
      <x:c r="H60" s="16" t="n">
        <x:v>0.21532878077211032</x:v>
      </x:c>
      <x:c r="I60" s="16" t="n">
        <x:v>0.12830726042458776</x:v>
      </x:c>
      <x:c r="J60" s="16" t="n">
        <x:v>0.2511498763904657</x:v>
      </x:c>
    </x:row>
    <x:row r="61">
      <x:c r="A61" t="str">
        <x:v>P060</x:v>
      </x:c>
      <x:c r="B61" s="24" t="n">
        <x:v>0.07473153783301822</x:v>
      </x:c>
      <x:c r="C61" s="24" t="n">
        <x:v>0.07049799184813847</x:v>
      </x:c>
      <x:c r="D61" s="26" t="n">
        <x:v>0.49265995984444944</x:v>
      </x:c>
      <x:c r="E61" s="16" t="n">
        <x:v>0.2333302664007102</x:v>
      </x:c>
      <x:c r="F61" s="16" t="n">
        <x:v>0.11274826857916209</x:v>
      </x:c>
      <x:c r="G61" s="16" t="n">
        <x:v>0.20789175342069421</x:v>
      </x:c>
      <x:c r="H61" s="16" t="n">
        <x:v>0.12236495616984791</x:v>
      </x:c>
      <x:c r="I61" s="16" t="n">
        <x:v>0.0912105761176452</x:v>
      </x:c>
      <x:c r="J61" s="16" t="n">
        <x:v>0.23245417931194023</x:v>
      </x:c>
    </x:row>
    <x:row r="62">
      <x:c r="A62" t="str">
        <x:v>P061</x:v>
      </x:c>
      <x:c r="B62" s="24" t="n">
        <x:v>0.07298851325115341</x:v>
      </x:c>
      <x:c r="C62" s="24" t="n">
        <x:v>0.068175613351959</x:v>
      </x:c>
      <x:c r="D62" s="26" t="n">
        <x:v>0.4838755623781344</x:v>
      </x:c>
      <x:c r="E62" s="16" t="n">
        <x:v>0.25073370890110697</x:v>
      </x:c>
      <x:c r="F62" s="16" t="n">
        <x:v>0.04399111410592387</x:v>
      </x:c>
      <x:c r="G62" s="16" t="n">
        <x:v>0.17574304175900235</x:v>
      </x:c>
      <x:c r="H62" s="16" t="n">
        <x:v>0.1231610474510828</x:v>
      </x:c>
      <x:c r="I62" s="16" t="n">
        <x:v>0.1609342452445169</x:v>
      </x:c>
      <x:c r="J62" s="16" t="n">
        <x:v>0.24543684253836714</x:v>
      </x:c>
    </x:row>
    <x:row r="63">
      <x:c r="A63" t="str">
        <x:v>P062</x:v>
      </x:c>
      <x:c r="B63" s="24" t="n">
        <x:v>0.09301895745408184</x:v>
      </x:c>
      <x:c r="C63" s="24" t="n">
        <x:v>0.07426574368909576</x:v>
      </x:c>
      <x:c r="D63" s="26" t="n">
        <x:v>0.7139086585605211</x:v>
      </x:c>
      <x:c r="E63" s="16" t="n">
        <x:v>0.1039601291664702</x:v>
      </x:c>
      <x:c r="F63" s="16" t="n">
        <x:v>0.18517647624209224</x:v>
      </x:c>
      <x:c r="G63" s="16" t="n">
        <x:v>0.07339138081900547</x:v>
      </x:c>
      <x:c r="H63" s="16" t="n">
        <x:v>0.13652539097344227</x:v>
      </x:c>
      <x:c r="I63" s="16" t="n">
        <x:v>0.2739344652208714</x:v>
      </x:c>
      <x:c r="J63" s="16" t="n">
        <x:v>0.2270121575781183</x:v>
      </x:c>
    </x:row>
    <x:row r="64">
      <x:c r="A64" t="str">
        <x:v>P063</x:v>
      </x:c>
      <x:c r="B64" s="24" t="n">
        <x:v>0.08172547858147072</x:v>
      </x:c>
      <x:c r="C64" s="24" t="n">
        <x:v>0.059372153207265514</x:v>
      </x:c>
      <x:c r="D64" s="26" t="n">
        <x:v>0.702778597835402</x:v>
      </x:c>
      <x:c r="E64" s="16" t="n">
        <x:v>0.12085471959366242</x:v>
      </x:c>
      <x:c r="F64" s="16" t="n">
        <x:v>0.09265673459337725</x:v>
      </x:c>
      <x:c r="G64" s="16" t="n">
        <x:v>0.20081303939643008</x:v>
      </x:c>
      <x:c r="H64" s="16" t="n">
        <x:v>0.15819325054361702</x:v>
      </x:c>
      <x:c r="I64" s="16" t="n">
        <x:v>0.3288793451261987</x:v>
      </x:c>
      <x:c r="J64" s="16" t="n">
        <x:v>0.09860291074671453</x:v>
      </x:c>
    </x:row>
    <x:row r="65">
      <x:c r="A65" t="str">
        <x:v>P064</x:v>
      </x:c>
      <x:c r="B65" s="24" t="n">
        <x:v>0.06567380014873136</x:v>
      </x:c>
      <x:c r="C65" s="24" t="n">
        <x:v>0.0589237795828586</x:v>
      </x:c>
      <x:c r="D65" s="26" t="n">
        <x:v>0.4357120390186253</x:v>
      </x:c>
      <x:c r="E65" s="16" t="n">
        <x:v>0.2665272338085777</x:v>
      </x:c>
      <x:c r="F65" s="16" t="n">
        <x:v>0.06788582541346733</x:v>
      </x:c>
      <x:c r="G65" s="16" t="n">
        <x:v>0.23195297620504593</x:v>
      </x:c>
      <x:c r="H65" s="16" t="n">
        <x:v>0.2504852972348369</x:v>
      </x:c>
      <x:c r="I65" s="16" t="n">
        <x:v>0.05468054462877465</x:v>
      </x:c>
      <x:c r="J65" s="16" t="n">
        <x:v>0.1284681227092974</x:v>
      </x:c>
    </x:row>
    <x:row r="66">
      <x:c r="A66" t="str">
        <x:v>P065</x:v>
      </x:c>
      <x:c r="B66" s="24" t="n">
        <x:v>0.084476633571684</x:v>
      </x:c>
      <x:c r="C66" s="24" t="n">
        <x:v>0.0656404780363523</x:v>
      </x:c>
      <x:c r="D66" s="26" t="n">
        <x:v>0.6775793672168633</x:v>
      </x:c>
      <x:c r="E66" s="16" t="n">
        <x:v>0.26637864936763694</x:v>
      </x:c>
      <x:c r="F66" s="16" t="n">
        <x:v>0.15436228418191744</x:v>
      </x:c>
      <x:c r="G66" s="16" t="n">
        <x:v>0.040252242120445626</x:v>
      </x:c>
      <x:c r="H66" s="16" t="n">
        <x:v>0.28756679934320223</x:v>
      </x:c>
      <x:c r="I66" s="16" t="n">
        <x:v>0.18231770507165154</x:v>
      </x:c>
      <x:c r="J66" s="16" t="n">
        <x:v>0.06912231991514627</x:v>
      </x:c>
    </x:row>
    <x:row r="67">
      <x:c r="A67" t="str">
        <x:v>P066</x:v>
      </x:c>
      <x:c r="B67" s="24" t="n">
        <x:v>0.08326013295797585</x:v>
      </x:c>
      <x:c r="C67" s="24" t="n">
        <x:v>0.05554204713670469</x:v>
      </x:c>
      <x:c r="D67" s="26" t="n">
        <x:v>0.7788717771151003</x:v>
      </x:c>
      <x:c r="E67" s="16" t="n">
        <x:v>0.02771058856525998</x:v>
      </x:c>
      <x:c r="F67" s="16" t="n">
        <x:v>0.28121771849337607</x:v>
      </x:c>
      <x:c r="G67" s="16" t="n">
        <x:v>0.15787402755032573</x:v>
      </x:c>
      <x:c r="H67" s="16" t="n">
        <x:v>0.4392568832185342</x:v>
      </x:c>
      <x:c r="I67" s="16" t="n">
        <x:v>0.08508883522870894</x:v>
      </x:c>
      <x:c r="J67" s="16" t="n">
        <x:v>0.00885194694379519</x:v>
      </x:c>
    </x:row>
    <x:row r="68">
      <x:c r="A68" t="str">
        <x:v>P067</x:v>
      </x:c>
      <x:c r="B68" s="24" t="n">
        <x:v>0.07778075155659336</x:v>
      </x:c>
      <x:c r="C68" s="24" t="n">
        <x:v>0.06624775722246942</x:v>
      </x:c>
      <x:c r="D68" s="26" t="n">
        <x:v>0.570294801523925</x:v>
      </x:c>
      <x:c r="E68" s="16" t="n">
        <x:v>0.19867711957822198</x:v>
      </x:c>
      <x:c r="F68" s="16" t="n">
        <x:v>0.09143421935513248</x:v>
      </x:c>
      <x:c r="G68" s="16" t="n">
        <x:v>0.18685432702548432</x:v>
      </x:c>
      <x:c r="H68" s="16" t="n">
        <x:v>0.12482960415548444</x:v>
      </x:c>
      <x:c r="I68" s="16" t="n">
        <x:v>0.1928145477485147</x:v>
      </x:c>
      <x:c r="J68" s="16" t="n">
        <x:v>0.20539018213716212</x:v>
      </x:c>
    </x:row>
    <x:row r="69">
      <x:c r="A69" t="str">
        <x:v>P068</x:v>
      </x:c>
      <x:c r="B69" s="24" t="n">
        <x:v>0.08016100497345402</x:v>
      </x:c>
      <x:c r="C69" s="24" t="n">
        <x:v>0.05878445212712628</x:v>
      </x:c>
      <x:c r="D69" s="26" t="n">
        <x:v>0.6831909377432402</x:v>
      </x:c>
      <x:c r="E69" s="16" t="n">
        <x:v>0.027001165899272584</x:v>
      </x:c>
      <x:c r="F69" s="16" t="n">
        <x:v>0.08933522665088327</x:v>
      </x:c>
      <x:c r="G69" s="16" t="n">
        <x:v>0.0586361504373116</x:v>
      </x:c>
      <x:c r="H69" s="16" t="n">
        <x:v>0.30625924833234286</x:v>
      </x:c>
      <x:c r="I69" s="16" t="n">
        <x:v>0.2224160783866467</x:v>
      </x:c>
      <x:c r="J69" s="16" t="n">
        <x:v>0.29635213029354307</x:v>
      </x:c>
    </x:row>
    <x:row r="70">
      <x:c r="A70" t="str">
        <x:v>P069</x:v>
      </x:c>
      <x:c r="B70" s="24" t="n">
        <x:v>0.07956908402354212</x:v>
      </x:c>
      <x:c r="C70" s="24" t="n">
        <x:v>0.06657839403737627</x:v>
      </x:c>
      <x:c r="D70" s="26" t="n">
        <x:v>0.5943231974224031</x:v>
      </x:c>
      <x:c r="E70" s="16" t="n">
        <x:v>0.1962260836295187</x:v>
      </x:c>
      <x:c r="F70" s="16" t="n">
        <x:v>0.15769308466581375</x:v>
      </x:c>
      <x:c r="G70" s="16" t="n">
        <x:v>0.17409946911025237</x:v>
      </x:c>
      <x:c r="H70" s="16" t="n">
        <x:v>0.18737139789698315</x:v>
      </x:c>
      <x:c r="I70" s="16" t="n">
        <x:v>0.12136140210787895</x:v>
      </x:c>
      <x:c r="J70" s="16" t="n">
        <x:v>0.16324856258955303</x:v>
      </x:c>
    </x:row>
    <x:row r="71">
      <x:c r="A71" t="str">
        <x:v>P070</x:v>
      </x:c>
      <x:c r="B71" s="24" t="n">
        <x:v>0.0787726815832408</x:v>
      </x:c>
      <x:c r="C71" s="24" t="n">
        <x:v>0.07703083925894198</x:v>
      </x:c>
      <x:c r="D71" s="26" t="n">
        <x:v>0.5033397267411953</x:v>
      </x:c>
      <x:c r="E71" s="16" t="n">
        <x:v>0.36187221130922326</x:v>
      </x:c>
      <x:c r="F71" s="16" t="n">
        <x:v>0.17507824611551176</x:v>
      </x:c>
      <x:c r="G71" s="16" t="n">
        <x:v>0.08047953243095207</x:v>
      </x:c>
      <x:c r="H71" s="16" t="n">
        <x:v>0.2470910302846991</x:v>
      </x:c>
      <x:c r="I71" s="16" t="n">
        <x:v>0.0205807156202131</x:v>
      </x:c>
      <x:c r="J71" s="16" t="n">
        <x:v>0.11489826423940087</x:v>
      </x:c>
    </x:row>
    <x:row r="72">
      <x:c r="A72" t="str">
        <x:v>P071</x:v>
      </x:c>
      <x:c r="B72" s="24" t="n">
        <x:v>0.10078519638765693</x:v>
      </x:c>
      <x:c r="C72" s="24" t="n">
        <x:v>0.09180114587093677</x:v>
      </x:c>
      <x:c r="D72" s="26" t="n">
        <x:v>0.6621398438001508</x:v>
      </x:c>
      <x:c r="E72" s="16" t="n">
        <x:v>0.15090837570780663</x:v>
      </x:c>
      <x:c r="F72" s="16" t="n">
        <x:v>0.3224053416204534</x:v>
      </x:c>
      <x:c r="G72" s="16" t="n">
        <x:v>0.009597393895419791</x:v>
      </x:c>
      <x:c r="H72" s="16" t="n">
        <x:v>0.12886970065541137</x:v>
      </x:c>
      <x:c r="I72" s="16" t="n">
        <x:v>0.12283389488027917</x:v>
      </x:c>
      <x:c r="J72" s="16" t="n">
        <x:v>0.26538529324062976</x:v>
      </x:c>
    </x:row>
    <x:row r="73">
      <x:c r="A73" t="str">
        <x:v>P072</x:v>
      </x:c>
      <x:c r="B73" s="24" t="n">
        <x:v>0.07737562881200799</x:v>
      </x:c>
      <x:c r="C73" s="24" t="n">
        <x:v>0.06710048797640153</x:v>
      </x:c>
      <x:c r="D73" s="26" t="n">
        <x:v>0.5570097914213764</x:v>
      </x:c>
      <x:c r="E73" s="16" t="n">
        <x:v>0.25405318779643477</x:v>
      </x:c>
      <x:c r="F73" s="16" t="n">
        <x:v>0.13945322722230133</x:v>
      </x:c>
      <x:c r="G73" s="16" t="n">
        <x:v>0.24495246947353172</x:v>
      </x:c>
      <x:c r="H73" s="16" t="n">
        <x:v>0.12252907291712684</x:v>
      </x:c>
      <x:c r="I73" s="16" t="n">
        <x:v>0.14581644758798495</x:v>
      </x:c>
      <x:c r="J73" s="16" t="n">
        <x:v>0.09319559500262038</x:v>
      </x:c>
    </x:row>
    <x:row r="74">
      <x:c r="A74" t="str">
        <x:v>P073</x:v>
      </x:c>
      <x:c r="B74" s="24" t="n">
        <x:v>0.09511536703400925</x:v>
      </x:c>
      <x:c r="C74" s="24" t="n">
        <x:v>0.07834903392155551</x:v>
      </x:c>
      <x:c r="D74" s="26" t="n">
        <x:v>0.7034594337077821</x:v>
      </x:c>
      <x:c r="E74" s="16" t="n">
        <x:v>0.06761075052974735</x:v>
      </x:c>
      <x:c r="F74" s="16" t="n">
        <x:v>0.3069870168128851</x:v>
      </x:c>
      <x:c r="G74" s="16" t="n">
        <x:v>0.2076532330639291</x:v>
      </x:c>
      <x:c r="H74" s="16" t="n">
        <x:v>0.09246509940581456</x:v>
      </x:c>
      <x:c r="I74" s="16" t="n">
        <x:v>0.18571822979949063</x:v>
      </x:c>
      <x:c r="J74" s="16" t="n">
        <x:v>0.13956567038813333</x:v>
      </x:c>
    </x:row>
    <x:row r="75">
      <x:c r="A75" t="str">
        <x:v>P074</x:v>
      </x:c>
      <x:c r="B75" s="24" t="n">
        <x:v>0.07860719344549216</x:v>
      </x:c>
      <x:c r="C75" s="24" t="n">
        <x:v>0.0618231324615305</x:v>
      </x:c>
      <x:c r="D75" s="26" t="n">
        <x:v>0.6244781185993046</x:v>
      </x:c>
      <x:c r="E75" s="16" t="n">
        <x:v>0.013265561432067141</x:v>
      </x:c>
      <x:c r="F75" s="16" t="n">
        <x:v>0.25086275778674444</x:v>
      </x:c>
      <x:c r="G75" s="16" t="n">
        <x:v>0.3124873305083112</x:v>
      </x:c>
      <x:c r="H75" s="16" t="n">
        <x:v>0.21917081575884673</x:v>
      </x:c>
      <x:c r="I75" s="16" t="n">
        <x:v>0.05317851301348594</x:v>
      </x:c>
      <x:c r="J75" s="16" t="n">
        <x:v>0.15103502150054454</x:v>
      </x:c>
    </x:row>
    <x:row r="76">
      <x:c r="A76" t="str">
        <x:v>P075</x:v>
      </x:c>
      <x:c r="B76" s="24" t="n">
        <x:v>0.077874330179599</x:v>
      </x:c>
      <x:c r="C76" s="24" t="n">
        <x:v>0.05639890926119454</x:v>
      </x:c>
      <x:c r="D76" s="26" t="n">
        <x:v>0.6715436641548412</x:v>
      </x:c>
      <x:c r="E76" s="16" t="n">
        <x:v>0.06361160887480663</x:v>
      </x:c>
      <x:c r="F76" s="16" t="n">
        <x:v>0.05321386488630601</x:v>
      </x:c>
      <x:c r="G76" s="16" t="n">
        <x:v>0.09193682274858998</x:v>
      </x:c>
      <x:c r="H76" s="16" t="n">
        <x:v>0.27991652358336905</x:v>
      </x:c>
      <x:c r="I76" s="16" t="n">
        <x:v>0.26337391189432185</x:v>
      </x:c>
      <x:c r="J76" s="16" t="n">
        <x:v>0.24794726801260641</x:v>
      </x:c>
    </x:row>
    <x:row r="77">
      <x:c r="A77" t="str">
        <x:v>P076</x:v>
      </x:c>
      <x:c r="B77" s="24" t="n">
        <x:v>0.07119841260062398</x:v>
      </x:c>
      <x:c r="C77" s="24" t="n">
        <x:v>0.09579014921955986</x:v>
      </x:c>
      <x:c r="D77" s="26" t="n">
        <x:v>0.32569541706333854</x:v>
      </x:c>
      <x:c r="E77" s="16" t="n">
        <x:v>0.47748601103072735</x:v>
      </x:c>
      <x:c r="F77" s="16" t="n">
        <x:v>0.05549212476513922</x:v>
      </x:c>
      <x:c r="G77" s="16" t="n">
        <x:v>0.11266778439398567</x:v>
      </x:c>
      <x:c r="H77" s="16" t="n">
        <x:v>0.022322000317808</x:v>
      </x:c>
      <x:c r="I77" s="16" t="n">
        <x:v>0.002135046982628706</x:v>
      </x:c>
      <x:c r="J77" s="16" t="n">
        <x:v>0.3298970325097109</x:v>
      </x:c>
    </x:row>
    <x:row r="78">
      <x:c r="A78" t="str">
        <x:v>P077</x:v>
      </x:c>
      <x:c r="B78" s="24" t="n">
        <x:v>0.07787722569544808</x:v>
      </x:c>
      <x:c r="C78" s="24" t="n">
        <x:v>0.07102022179522552</x:v>
      </x:c>
      <x:c r="D78" s="26" t="n">
        <x:v>0.5333301521454057</x:v>
      </x:c>
      <x:c r="E78" s="16" t="n">
        <x:v>0.12784813139677892</x:v>
      </x:c>
      <x:c r="F78" s="16" t="n">
        <x:v>0.17698777240299862</x:v>
      </x:c>
      <x:c r="G78" s="16" t="n">
        <x:v>0.2718870290478694</x:v>
      </x:c>
      <x:c r="H78" s="16" t="n">
        <x:v>0.08969790667684713</x:v>
      </x:c>
      <x:c r="I78" s="16" t="n">
        <x:v>0.07654874236502161</x:v>
      </x:c>
      <x:c r="J78" s="16" t="n">
        <x:v>0.2570304181104843</x:v>
      </x:c>
    </x:row>
    <x:row r="79">
      <x:c r="A79" t="str">
        <x:v>P078</x:v>
      </x:c>
      <x:c r="B79" s="24" t="n">
        <x:v>0.11478219221653241</x:v>
      </x:c>
      <x:c r="C79" s="24" t="n">
        <x:v>0.10749177359799794</x:v>
      </x:c>
      <x:c r="D79" s="26" t="n">
        <x:v>0.6957015380191405</x:v>
      </x:c>
      <x:c r="E79" s="16" t="n">
        <x:v>0.015242382188396728</x:v>
      </x:c>
      <x:c r="F79" s="16" t="n">
        <x:v>0.5684388601015141</x:v>
      </x:c>
      <x:c r="G79" s="16" t="n">
        <x:v>0.2130171312132545</x:v>
      </x:c>
      <x:c r="H79" s="16" t="n">
        <x:v>0.020517190307675136</x:v>
      </x:c>
      <x:c r="I79" s="16" t="n">
        <x:v>0.13313136060506084</x:v>
      </x:c>
      <x:c r="J79" s="16" t="n">
        <x:v>0.04965307558409867</x:v>
      </x:c>
    </x:row>
    <x:row r="80">
      <x:c r="A80" t="str">
        <x:v>P079</x:v>
      </x:c>
      <x:c r="B80" s="24" t="n">
        <x:v>0.07083744445825912</x:v>
      </x:c>
      <x:c r="C80" s="24" t="n">
        <x:v>0.06935339906795404</x:v>
      </x:c>
      <x:c r="D80" s="26" t="n">
        <x:v>0.44464214981076694</x:v>
      </x:c>
      <x:c r="E80" s="16" t="n">
        <x:v>0.39975267153515</x:v>
      </x:c>
      <x:c r="F80" s="16" t="n">
        <x:v>0.026280768951665555</x:v>
      </x:c>
      <x:c r="G80" s="16" t="n">
        <x:v>0.025283385984555134</x:v>
      </x:c>
      <x:c r="H80" s="16" t="n">
        <x:v>0.2910069858166191</x:v>
      </x:c>
      <x:c r="I80" s="16" t="n">
        <x:v>0.09935964168994077</x:v>
      </x:c>
      <x:c r="J80" s="16" t="n">
        <x:v>0.15831654602206946</x:v>
      </x:c>
    </x:row>
    <x:row r="81">
      <x:c r="A81" t="str">
        <x:v>P080</x:v>
      </x:c>
      <x:c r="B81" s="24" t="n">
        <x:v>0.07425777412767287</x:v>
      </x:c>
      <x:c r="C81" s="24" t="n">
        <x:v>0.07239453251385494</x:v>
      </x:c>
      <x:c r="D81" s="26" t="n">
        <x:v>0.47320941151345347</x:v>
      </x:c>
      <x:c r="E81" s="16" t="n">
        <x:v>0.32465056099068845</x:v>
      </x:c>
      <x:c r="F81" s="16" t="n">
        <x:v>0.1756402023582708</x:v>
      </x:c>
      <x:c r="G81" s="16" t="n">
        <x:v>0.30114203025181435</x:v>
      </x:c>
      <x:c r="H81" s="16" t="n">
        <x:v>0.11635947253083877</x:v>
      </x:c>
      <x:c r="I81" s="16" t="n">
        <x:v>0.05412096548534869</x:v>
      </x:c>
      <x:c r="J81" s="16" t="n">
        <x:v>0.028086768383038727</x:v>
      </x:c>
    </x:row>
    <x:row r="82">
      <x:c r="A82" t="str">
        <x:v>P081</x:v>
      </x:c>
      <x:c r="B82" s="24" t="n">
        <x:v>0.08221415666513443</x:v>
      </x:c>
      <x:c r="C82" s="24" t="n">
        <x:v>0.08299461333344847</x:v>
      </x:c>
      <x:c r="D82" s="26" t="n">
        <x:v>0.5086373075265752</x:v>
      </x:c>
      <x:c r="E82" s="16" t="n">
        <x:v>0.34846985711388484</x:v>
      </x:c>
      <x:c r="F82" s="16" t="n">
        <x:v>0.05074721116105407</x:v>
      </x:c>
      <x:c r="G82" s="16" t="n">
        <x:v>0.03264229606426236</x:v>
      </x:c>
      <x:c r="H82" s="16" t="n">
        <x:v>0.06527686610437602</x:v>
      </x:c>
      <x:c r="I82" s="16" t="n">
        <x:v>0.216759138734793</x:v>
      </x:c>
      <x:c r="J82" s="16" t="n">
        <x:v>0.28610463082162974</x:v>
      </x:c>
    </x:row>
    <x:row r="83">
      <x:c r="A83" t="str">
        <x:v>P082</x:v>
      </x:c>
      <x:c r="B83" s="24" t="n">
        <x:v>0.08506844773054945</x:v>
      </x:c>
      <x:c r="C83" s="24" t="n">
        <x:v>0.06276652631674955</x:v>
      </x:c>
      <x:c r="D83" s="26" t="n">
        <x:v>0.7180331679199955</x:v>
      </x:c>
      <x:c r="E83" s="16" t="n">
        <x:v>0.15755876912926767</x:v>
      </x:c>
      <x:c r="F83" s="16" t="n">
        <x:v>0.1979704289832307</x:v>
      </x:c>
      <x:c r="G83" s="16" t="n">
        <x:v>0.15854838589106948</x:v>
      </x:c>
      <x:c r="H83" s="16" t="n">
        <x:v>0.2373666454677491</x:v>
      </x:c>
      <x:c r="I83" s="16" t="n">
        <x:v>0.19245705780164424</x:v>
      </x:c>
      <x:c r="J83" s="16" t="n">
        <x:v>0.056098712727038834</x:v>
      </x:c>
    </x:row>
    <x:row r="84">
      <x:c r="A84" t="str">
        <x:v>P083</x:v>
      </x:c>
      <x:c r="B84" s="24" t="n">
        <x:v>0.08977376852116259</x:v>
      </x:c>
      <x:c r="C84" s="24" t="n">
        <x:v>0.07800298604246488</x:v>
      </x:c>
      <x:c r="D84" s="26" t="n">
        <x:v>0.6381008092955021</x:v>
      </x:c>
      <x:c r="E84" s="16" t="n">
        <x:v>0.10170009596292635</x:v>
      </x:c>
      <x:c r="F84" s="16" t="n">
        <x:v>0.3006645958201486</x:v>
      </x:c>
      <x:c r="G84" s="16" t="n">
        <x:v>0.13580819991148887</x:v>
      </x:c>
      <x:c r="H84" s="16" t="n">
        <x:v>0.20506730484465252</x:v>
      </x:c>
      <x:c r="I84" s="16" t="n">
        <x:v>0.052193722544765335</x:v>
      </x:c>
      <x:c r="J84" s="16" t="n">
        <x:v>0.20456608091601836</x:v>
      </x:c>
    </x:row>
    <x:row r="85">
      <x:c r="A85" t="str">
        <x:v>P084</x:v>
      </x:c>
      <x:c r="B85" s="24" t="n">
        <x:v>0.06687840486142704</x:v>
      </x:c>
      <x:c r="C85" s="24" t="n">
        <x:v>0.06224430016544462</x:v>
      </x:c>
      <x:c r="D85" s="26" t="n">
        <x:v>0.4318211433012269</x:v>
      </x:c>
      <x:c r="E85" s="16" t="n">
        <x:v>0.21690950330520983</x:v>
      </x:c>
      <x:c r="F85" s="16" t="n">
        <x:v>0.049779908672239775</x:v>
      </x:c>
      <x:c r="G85" s="16" t="n">
        <x:v>0.2925389483410401</x:v>
      </x:c>
      <x:c r="H85" s="16" t="n">
        <x:v>0.12253314341340452</x:v>
      </x:c>
      <x:c r="I85" s="16" t="n">
        <x:v>0.10756370723417435</x:v>
      </x:c>
      <x:c r="J85" s="16" t="n">
        <x:v>0.21067478903393136</x:v>
      </x:c>
    </x:row>
    <x:row r="86">
      <x:c r="A86" t="str">
        <x:v>P085</x:v>
      </x:c>
      <x:c r="B86" s="24" t="n">
        <x:v>0.09094761089905301</x:v>
      </x:c>
      <x:c r="C86" s="24" t="n">
        <x:v>0.08683398434629179</x:v>
      </x:c>
      <x:c r="D86" s="26" t="n">
        <x:v>0.5867243255345188</x:v>
      </x:c>
      <x:c r="E86" s="16" t="n">
        <x:v>0.2643197869465348</x:v>
      </x:c>
      <x:c r="F86" s="16" t="n">
        <x:v>0.24076996557171734</x:v>
      </x:c>
      <x:c r="G86" s="16" t="n">
        <x:v>0.16143725292295577</x:v>
      </x:c>
      <x:c r="H86" s="16" t="n">
        <x:v>0.01560752016858409</x:v>
      </x:c>
      <x:c r="I86" s="16" t="n">
        <x:v>0.13955828107994772</x:v>
      </x:c>
      <x:c r="J86" s="16" t="n">
        <x:v>0.17830719331026032</x:v>
      </x:c>
    </x:row>
    <x:row r="87">
      <x:c r="A87" t="str">
        <x:v>P086</x:v>
      </x:c>
      <x:c r="B87" s="24" t="n">
        <x:v>0.07613027006258744</x:v>
      </x:c>
      <x:c r="C87" s="24" t="n">
        <x:v>0.0595514069180997</x:v>
      </x:c>
      <x:c r="D87" s="26" t="n">
        <x:v>0.6067072455950023</x:v>
      </x:c>
      <x:c r="E87" s="16" t="n">
        <x:v>0.29047372719995757</x:v>
      </x:c>
      <x:c r="F87" s="16" t="n">
        <x:v>0.07019219509426336</x:v>
      </x:c>
      <x:c r="G87" s="16" t="n">
        <x:v>0.16169542840321283</x:v>
      </x:c>
      <x:c r="H87" s="16" t="n">
        <x:v>0.22260023398190687</x:v>
      </x:c>
      <x:c r="I87" s="16" t="n">
        <x:v>0.23894579570522728</x:v>
      </x:c>
      <x:c r="J87" s="16" t="n">
        <x:v>0.016092619615432114</x:v>
      </x:c>
    </x:row>
    <x:row r="88">
      <x:c r="A88" t="str">
        <x:v>P087</x:v>
      </x:c>
      <x:c r="B88" s="24" t="n">
        <x:v>0.06765779106297076</x:v>
      </x:c>
      <x:c r="C88" s="24" t="n">
        <x:v>0.055413297536753905</x:v>
      </x:c>
      <x:c r="D88" s="26" t="n">
        <x:v>0.4991183035917726</x:v>
      </x:c>
      <x:c r="E88" s="16" t="n">
        <x:v>0.2268541270904926</x:v>
      </x:c>
      <x:c r="F88" s="16" t="n">
        <x:v>0.029433650033695614</x:v>
      </x:c>
      <x:c r="G88" s="16" t="n">
        <x:v>0.22120722747542004</x:v>
      </x:c>
      <x:c r="H88" s="16" t="n">
        <x:v>0.2237057188803288</x:v>
      </x:c>
      <x:c r="I88" s="16" t="n">
        <x:v>0.15866954302719571</x:v>
      </x:c>
      <x:c r="J88" s="16" t="n">
        <x:v>0.14012973349286711</x:v>
      </x:c>
    </x:row>
    <x:row r="89">
      <x:c r="A89" t="str">
        <x:v>P088</x:v>
      </x:c>
      <x:c r="B89" s="24" t="n">
        <x:v>0.07270119477381964</x:v>
      </x:c>
      <x:c r="C89" s="24" t="n">
        <x:v>0.05339653238873863</x:v>
      </x:c>
      <x:c r="D89" s="26" t="n">
        <x:v>0.6124216931494292</x:v>
      </x:c>
      <x:c r="E89" s="16" t="n">
        <x:v>0.11129811415782549</x:v>
      </x:c>
      <x:c r="F89" s="16" t="n">
        <x:v>0.1237311357702478</x:v>
      </x:c>
      <x:c r="G89" s="16" t="n">
        <x:v>0.29338093367837026</x:v>
      </x:c>
      <x:c r="H89" s="16" t="n">
        <x:v>0.20940601163232153</x:v>
      </x:c>
      <x:c r="I89" s="16" t="n">
        <x:v>0.147980133034638</x:v>
      </x:c>
      <x:c r="J89" s="16" t="n">
        <x:v>0.11420367172659683</x:v>
      </x:c>
    </x:row>
    <x:row r="90">
      <x:c r="A90" t="str">
        <x:v>P089</x:v>
      </x:c>
      <x:c r="B90" s="24" t="n">
        <x:v>0.0796572624986367</x:v>
      </x:c>
      <x:c r="C90" s="24" t="n">
        <x:v>0.06965237860263307</x:v>
      </x:c>
      <x:c r="D90" s="26" t="n">
        <x:v>0.5693597734096266</x:v>
      </x:c>
      <x:c r="E90" s="16" t="n">
        <x:v>0.20017673441322556</x:v>
      </x:c>
      <x:c r="F90" s="16" t="n">
        <x:v>0.18823833334258752</x:v>
      </x:c>
      <x:c r="G90" s="16" t="n">
        <x:v>0.1858771396901725</x:v>
      </x:c>
      <x:c r="H90" s="16" t="n">
        <x:v>0.1862013777291326</x:v>
      </x:c>
      <x:c r="I90" s="16" t="n">
        <x:v>0.07176310136013483</x:v>
      </x:c>
      <x:c r="J90" s="16" t="n">
        <x:v>0.1677433134647469</x:v>
      </x:c>
    </x:row>
    <x:row r="91">
      <x:c r="A91" t="str">
        <x:v>P090</x:v>
      </x:c>
      <x:c r="B91" s="24" t="n">
        <x:v>0.08584040162223583</x:v>
      </x:c>
      <x:c r="C91" s="24" t="n">
        <x:v>0.067490331852276</x:v>
      </x:c>
      <x:c r="D91" s="26" t="n">
        <x:v>0.6792143461758654</x:v>
      </x:c>
      <x:c r="E91" s="16" t="n">
        <x:v>0.1513319964208967</x:v>
      </x:c>
      <x:c r="F91" s="16" t="n">
        <x:v>0.20069963283004377</x:v>
      </x:c>
      <x:c r="G91" s="16" t="n">
        <x:v>0.16170700901875368</x:v>
      </x:c>
      <x:c r="H91" s="16" t="n">
        <x:v>0.183139796981898</x:v>
      </x:c>
      <x:c r="I91" s="16" t="n">
        <x:v>0.17591983947200332</x:v>
      </x:c>
      <x:c r="J91" s="16" t="n">
        <x:v>0.12720172527640453</x:v>
      </x:c>
    </x:row>
    <x:row r="92">
      <x:c r="A92" t="str">
        <x:v>P091</x:v>
      </x:c>
      <x:c r="B92" s="24" t="n">
        <x:v>0.0628875099057038</x:v>
      </x:c>
      <x:c r="C92" s="24" t="n">
        <x:v>0.056686131869818406</x:v>
      </x:c>
      <x:c r="D92" s="26" t="n">
        <x:v>0.40375854112370424</x:v>
      </x:c>
      <x:c r="E92" s="16" t="n">
        <x:v>0.29211073856039216</x:v>
      </x:c>
      <x:c r="F92" s="16" t="n">
        <x:v>0.03170953053594334</x:v>
      </x:c>
      <x:c r="G92" s="16" t="n">
        <x:v>0.16130627075781942</x:v>
      </x:c>
      <x:c r="H92" s="16" t="n">
        <x:v>0.3374685896325563</x:v>
      </x:c>
      <x:c r="I92" s="16" t="n">
        <x:v>0.03897539799898383</x:v>
      </x:c>
      <x:c r="J92" s="16" t="n">
        <x:v>0.13842947251430504</x:v>
      </x:c>
    </x:row>
    <x:row r="93">
      <x:c r="A93" t="str">
        <x:v>P092</x:v>
      </x:c>
      <x:c r="B93" s="24" t="n">
        <x:v>0.09487231570376986</x:v>
      </x:c>
      <x:c r="C93" s="24" t="n">
        <x:v>0.08377319702667374</x:v>
      </x:c>
      <x:c r="D93" s="26" t="n">
        <x:v>0.6550104048947575</x:v>
      </x:c>
      <x:c r="E93" s="16" t="n">
        <x:v>0.24716205770814043</x:v>
      </x:c>
      <x:c r="F93" s="16" t="n">
        <x:v>0.177645767157837</x:v>
      </x:c>
      <x:c r="G93" s="16" t="n">
        <x:v>0.028548975005084774</x:v>
      </x:c>
      <x:c r="H93" s="16" t="n">
        <x:v>0.06750561733233693</x:v>
      </x:c>
      <x:c r="I93" s="16" t="n">
        <x:v>0.26285356419030814</x:v>
      </x:c>
      <x:c r="J93" s="16" t="n">
        <x:v>0.2162840186062927</x:v>
      </x:c>
    </x:row>
    <x:row r="94">
      <x:c r="A94" t="str">
        <x:v>P093</x:v>
      </x:c>
      <x:c r="B94" s="24" t="n">
        <x:v>0.08875058549595005</x:v>
      </x:c>
      <x:c r="C94" s="24" t="n">
        <x:v>0.07278487373838302</x:v>
      </x:c>
      <x:c r="D94" s="26" t="n">
        <x:v>0.6697900675238994</x:v>
      </x:c>
      <x:c r="E94" s="16" t="n">
        <x:v>0.14247479685396486</x:v>
      </x:c>
      <x:c r="F94" s="16" t="n">
        <x:v>0.21953987863529303</x:v>
      </x:c>
      <x:c r="G94" s="16" t="n">
        <x:v>0.2258671600807947</x:v>
      </x:c>
      <x:c r="H94" s="16" t="n">
        <x:v>0.07116719774017845</x:v>
      </x:c>
      <x:c r="I94" s="16" t="n">
        <x:v>0.21424745670764833</x:v>
      </x:c>
      <x:c r="J94" s="16" t="n">
        <x:v>0.12670350998212068</x:v>
      </x:c>
    </x:row>
    <x:row r="95">
      <x:c r="A95" t="str">
        <x:v>P094</x:v>
      </x:c>
      <x:c r="B95" s="24" t="n">
        <x:v>0.07501917301402239</x:v>
      </x:c>
      <x:c r="C95" s="24" t="n">
        <x:v>0.05419365577820323</x:v>
      </x:c>
      <x:c r="D95" s="26" t="n">
        <x:v>0.6461858405962557</x:v>
      </x:c>
      <x:c r="E95" s="16" t="n">
        <x:v>0.18642095178089732</x:v>
      </x:c>
      <x:c r="F95" s="16" t="n">
        <x:v>0.029308092903020444</x:v>
      </x:c>
      <x:c r="G95" s="16" t="n">
        <x:v>0.11642431073863937</x:v>
      </x:c>
      <x:c r="H95" s="16" t="n">
        <x:v>0.27509511673586495</x:v>
      </x:c>
      <x:c r="I95" s="16" t="n">
        <x:v>0.2723331908785903</x:v>
      </x:c>
      <x:c r="J95" s="16" t="n">
        <x:v>0.1204183369629877</x:v>
      </x:c>
    </x:row>
    <x:row r="96">
      <x:c r="A96" t="str">
        <x:v>P095</x:v>
      </x:c>
      <x:c r="B96" s="24" t="n">
        <x:v>0.08501382778040045</x:v>
      </x:c>
      <x:c r="C96" s="24" t="n">
        <x:v>0.07113209733975477</x:v>
      </x:c>
      <x:c r="D96" s="26" t="n">
        <x:v>0.6328201959995187</x:v>
      </x:c>
      <x:c r="E96" s="16" t="n">
        <x:v>0.07494808729403861</x:v>
      </x:c>
      <x:c r="F96" s="16" t="n">
        <x:v>0.29224251610671287</x:v>
      </x:c>
      <x:c r="G96" s="16" t="n">
        <x:v>0.152685416290313</x:v>
      </x:c>
      <x:c r="H96" s="16" t="n">
        <x:v>0.2884958436490889</x:v>
      </x:c>
      <x:c r="I96" s="16" t="n">
        <x:v>0.010737559565668946</x:v>
      </x:c>
      <x:c r="J96" s="16" t="n">
        <x:v>0.1808905770941776</x:v>
      </x:c>
    </x:row>
    <x:row r="97">
      <x:c r="A97" t="str">
        <x:v>P096</x:v>
      </x:c>
      <x:c r="B97" s="24" t="n">
        <x:v>0.06346490006169914</x:v>
      </x:c>
      <x:c r="C97" s="24" t="n">
        <x:v>0.038581584403744214</x:v>
      </x:c>
      <x:c r="D97" s="26" t="n">
        <x:v>0.608189125053712</x:v>
      </x:c>
      <x:c r="E97" s="16" t="n">
        <x:v>0.11771916176211124</x:v>
      </x:c>
      <x:c r="F97" s="16" t="n">
        <x:v>0.0016334798263762066</x:v>
      </x:c>
      <x:c r="G97" s="16" t="n">
        <x:v>0.20392773174968165</x:v>
      </x:c>
      <x:c r="H97" s="16" t="n">
        <x:v>0.3959911807672641</x:v>
      </x:c>
      <x:c r="I97" s="16" t="n">
        <x:v>0.19155624511141964</x:v>
      </x:c>
      <x:c r="J97" s="16" t="n">
        <x:v>0.08917220078314725</x:v>
      </x:c>
    </x:row>
    <x:row r="98">
      <x:c r="A98" t="str">
        <x:v>P097</x:v>
      </x:c>
      <x:c r="B98" s="24" t="n">
        <x:v>0.08898724470780683</x:v>
      </x:c>
      <x:c r="C98" s="24" t="n">
        <x:v>0.07697395948003688</x:v>
      </x:c>
      <x:c r="D98" s="26" t="n">
        <x:v>0.6364132108925958</x:v>
      </x:c>
      <x:c r="E98" s="16" t="n">
        <x:v>0.1688268964143648</x:v>
      </x:c>
      <x:c r="F98" s="16" t="n">
        <x:v>0.21149713126117653</x:v>
      </x:c>
      <x:c r="G98" s="16" t="n">
        <x:v>0.1834865479295201</x:v>
      </x:c>
      <x:c r="H98" s="16" t="n">
        <x:v>0.06041176454269257</x:v>
      </x:c>
      <x:c r="I98" s="16" t="n">
        <x:v>0.18795300211018984</x:v>
      </x:c>
      <x:c r="J98" s="16" t="n">
        <x:v>0.18782465774205612</x:v>
      </x:c>
    </x:row>
    <x:row r="99">
      <x:c r="A99" t="str">
        <x:v>P098</x:v>
      </x:c>
      <x:c r="B99" s="24" t="n">
        <x:v>0.09841441926249539</x:v>
      </x:c>
      <x:c r="C99" s="24" t="n">
        <x:v>0.09296412343955564</x:v>
      </x:c>
      <x:c r="D99" s="26" t="n">
        <x:v>0.6283544350361768</x:v>
      </x:c>
      <x:c r="E99" s="16" t="n">
        <x:v>0.16606710684982318</x:v>
      </x:c>
      <x:c r="F99" s="16" t="n">
        <x:v>0.27234827788339266</x:v>
      </x:c>
      <x:c r="G99" s="16" t="n">
        <x:v>0.013191774565196632</x:v>
      </x:c>
      <x:c r="H99" s="16" t="n">
        <x:v>0.0741456977652477</x:v>
      </x:c>
      <x:c r="I99" s="16" t="n">
        <x:v>0.1397817200276183</x:v>
      </x:c>
      <x:c r="J99" s="16" t="n">
        <x:v>0.33446542290872144</x:v>
      </x:c>
    </x:row>
    <x:row r="100">
      <x:c r="A100" t="str">
        <x:v>P099</x:v>
      </x:c>
      <x:c r="B100" s="24" t="n">
        <x:v>0.0752446035996488</x:v>
      </x:c>
      <x:c r="C100" s="24" t="n">
        <x:v>0.06974327321239539</x:v>
      </x:c>
      <x:c r="D100" s="26" t="n">
        <x:v>0.5053477127796293</x:v>
      </x:c>
      <x:c r="E100" s="16" t="n">
        <x:v>0.18004732810465987</x:v>
      </x:c>
      <x:c r="F100" s="16" t="n">
        <x:v>0.1729973936150805</x:v>
      </x:c>
      <x:c r="G100" s="16" t="n">
        <x:v>0.21299317765715395</x:v>
      </x:c>
      <x:c r="H100" s="16" t="n">
        <x:v>0.18688903725033051</x:v>
      </x:c>
      <x:c r="I100" s="16" t="n">
        <x:v>0.016219244909906526</x:v>
      </x:c>
      <x:c r="J100" s="16" t="n">
        <x:v>0.23085381846286857</x:v>
      </x:c>
    </x:row>
    <x:row r="101">
      <x:c r="A101" t="str">
        <x:v>P100</x:v>
      </x:c>
      <x:c r="B101" s="24" t="n">
        <x:v>0.06760135247687904</x:v>
      </x:c>
      <x:c r="C101" s="24" t="n">
        <x:v>0.07161867066813422</x:v>
      </x:c>
      <x:c r="D101" s="26" t="n">
        <x:v>0.3853932531752491</x:v>
      </x:c>
      <x:c r="E101" s="16" t="n">
        <x:v>0.26697433334648596</x:v>
      </x:c>
      <x:c r="F101" s="16" t="n">
        <x:v>0.07548012854732646</x:v>
      </x:c>
      <x:c r="G101" s="16" t="n">
        <x:v>0.2082772278949665</x:v>
      </x:c>
      <x:c r="H101" s="16" t="n">
        <x:v>0.15822940907385602</x:v>
      </x:c>
      <x:c r="I101" s="16" t="n">
        <x:v>0.010167009980687276</x:v>
      </x:c>
      <x:c r="J101" s="16" t="n">
        <x:v>0.28087189115667766</x:v>
      </x:c>
    </x:row>
    <x:row r="102">
      <x:c r="A102" t="str">
        <x:v>P101</x:v>
      </x:c>
      <x:c r="B102" s="24" t="n">
        <x:v>0.07821147870189238</x:v>
      </x:c>
      <x:c r="C102" s="24" t="n">
        <x:v>0.056596824468041255</x:v>
      </x:c>
      <x:c r="D102" s="26" t="n">
        <x:v>0.6751523439882992</x:v>
      </x:c>
      <x:c r="E102" s="16" t="n">
        <x:v>0.0930716424488365</x:v>
      </x:c>
      <x:c r="F102" s="16" t="n">
        <x:v>0.1697050187691386</x:v>
      </x:c>
      <x:c r="G102" s="16" t="n">
        <x:v>0.2219234211969963</x:v>
      </x:c>
      <x:c r="H102" s="16" t="n">
        <x:v>0.25165215869710156</x:v>
      </x:c>
      <x:c r="I102" s="16" t="n">
        <x:v>0.14238567402172056</x:v>
      </x:c>
      <x:c r="J102" s="16" t="n">
        <x:v>0.12126208486620646</x:v>
      </x:c>
    </x:row>
    <x:row r="103">
      <x:c r="A103" t="str">
        <x:v>P102</x:v>
      </x:c>
      <x:c r="B103" s="24" t="n">
        <x:v>0.07104915523954558</x:v>
      </x:c>
      <x:c r="C103" s="24" t="n">
        <x:v>0.050127889357514506</x:v>
      </x:c>
      <x:c r="D103" s="26" t="n">
        <x:v>0.6193988144623748</x:v>
      </x:c>
      <x:c r="E103" s="16" t="n">
        <x:v>0.00564957127699096</x:v>
      </x:c>
      <x:c r="F103" s="16" t="n">
        <x:v>0.06551816724254485</x:v>
      </x:c>
      <x:c r="G103" s="16" t="n">
        <x:v>0.4209106207398932</x:v>
      </x:c>
      <x:c r="H103" s="16" t="n">
        <x:v>0.1060484870283073</x:v>
      </x:c>
      <x:c r="I103" s="16" t="n">
        <x:v>0.30547194337361216</x:v>
      </x:c>
      <x:c r="J103" s="16" t="n">
        <x:v>0.09640121033865143</x:v>
      </x:c>
    </x:row>
    <x:row r="104">
      <x:c r="A104" t="str">
        <x:v>P103</x:v>
      </x:c>
      <x:c r="B104" s="24" t="n">
        <x:v>0.07449607506497014</x:v>
      </x:c>
      <x:c r="C104" s="24" t="n">
        <x:v>0.061411102180130225</x:v>
      </x:c>
      <x:c r="D104" s="26" t="n">
        <x:v>0.5617237574369974</x:v>
      </x:c>
      <x:c r="E104" s="16" t="n">
        <x:v>0.2384998341156618</x:v>
      </x:c>
      <x:c r="F104" s="16" t="n">
        <x:v>0.0631973076701403</x:v>
      </x:c>
      <x:c r="G104" s="16" t="n">
        <x:v>0.23164182883246778</x:v>
      </x:c>
      <x:c r="H104" s="16" t="n">
        <x:v>0.13359804600012135</x:v>
      </x:c>
      <x:c r="I104" s="16" t="n">
        <x:v>0.22515916060628768</x:v>
      </x:c>
      <x:c r="J104" s="16" t="n">
        <x:v>0.10790382277532103</x:v>
      </x:c>
    </x:row>
    <x:row r="105">
      <x:c r="A105" t="str">
        <x:v>P104</x:v>
      </x:c>
      <x:c r="B105" s="24" t="n">
        <x:v>0.08112073700026023</x:v>
      </x:c>
      <x:c r="C105" s="24" t="n">
        <x:v>0.07814882945826232</x:v>
      </x:c>
      <x:c r="D105" s="26" t="n">
        <x:v>0.5261849382174301</x:v>
      </x:c>
      <x:c r="E105" s="16" t="n">
        <x:v>0.29555465570449646</x:v>
      </x:c>
      <x:c r="F105" s="16" t="n">
        <x:v>0.15396818459261374</x:v>
      </x:c>
      <x:c r="G105" s="16" t="n">
        <x:v>0.12439912493932964</x:v>
      </x:c>
      <x:c r="H105" s="16" t="n">
        <x:v>0.12706702369391423</x:v>
      </x:c>
      <x:c r="I105" s="16" t="n">
        <x:v>0.0931763700457375</x:v>
      </x:c>
      <x:c r="J105" s="16" t="n">
        <x:v>0.2058346410239086</x:v>
      </x:c>
    </x:row>
    <x:row r="106">
      <x:c r="A106" t="str">
        <x:v>P105</x:v>
      </x:c>
      <x:c r="B106" s="24" t="n">
        <x:v>0.07314602744188914</x:v>
      </x:c>
      <x:c r="C106" s="24" t="n">
        <x:v>0.05267552038087462</x:v>
      </x:c>
      <x:c r="D106" s="26" t="n">
        <x:v>0.6292491692957962</x:v>
      </x:c>
      <x:c r="E106" s="16" t="n">
        <x:v>0.07256742140875384</x:v>
      </x:c>
      <x:c r="F106" s="16" t="n">
        <x:v>0.06433822465080768</x:v>
      </x:c>
      <x:c r="G106" s="16" t="n">
        <x:v>0.40238280173089896</x:v>
      </x:c>
      <x:c r="H106" s="16" t="n">
        <x:v>0.08763872946047438</x:v>
      </x:c>
      <x:c r="I106" s="16" t="n">
        <x:v>0.3384281746839471</x:v>
      </x:c>
      <x:c r="J106" s="16" t="n">
        <x:v>0.03464464806511814</x:v>
      </x:c>
    </x:row>
    <x:row r="107">
      <x:c r="A107" t="str">
        <x:v>P106</x:v>
      </x:c>
      <x:c r="B107" s="24" t="n">
        <x:v>0.07763733934043593</x:v>
      </x:c>
      <x:c r="C107" s="24" t="n">
        <x:v>0.061696569416054704</x:v>
      </x:c>
      <x:c r="D107" s="26" t="n">
        <x:v>0.6100394186689078</x:v>
      </x:c>
      <x:c r="E107" s="16" t="n">
        <x:v>0.29550793626292393</x:v>
      </x:c>
      <x:c r="F107" s="16" t="n">
        <x:v>0.052430113915626145</x:v>
      </x:c>
      <x:c r="G107" s="16" t="n">
        <x:v>0.17917784382986163</x:v>
      </x:c>
      <x:c r="H107" s="16" t="n">
        <x:v>0.1662004009104512</x:v>
      </x:c>
      <x:c r="I107" s="16" t="n">
        <x:v>0.30467884044894894</x:v>
      </x:c>
      <x:c r="J107" s="16" t="n">
        <x:v>0.002004864632188078</x:v>
      </x:c>
    </x:row>
    <x:row r="108">
      <x:c r="A108" t="str">
        <x:v>P107</x:v>
      </x:c>
      <x:c r="B108" s="24" t="n">
        <x:v>0.08276973918910135</x:v>
      </x:c>
      <x:c r="C108" s="24" t="n">
        <x:v>0.06398187051972531</x:v>
      </x:c>
      <x:c r="D108" s="26" t="n">
        <x:v>0.6684665334364621</x:v>
      </x:c>
      <x:c r="E108" s="16" t="n">
        <x:v>0.07066106986733234</x:v>
      </x:c>
      <x:c r="F108" s="16" t="n">
        <x:v>0.19433836183366957</x:v>
      </x:c>
      <x:c r="G108" s="16" t="n">
        <x:v>0.19368768620299248</x:v>
      </x:c>
      <x:c r="H108" s="16" t="n">
        <x:v>0.20155757163078747</x:v>
      </x:c>
      <x:c r="I108" s="16" t="n">
        <x:v>0.1472393955103481</x:v>
      </x:c>
      <x:c r="J108" s="16" t="n">
        <x:v>0.19251591495487022</x:v>
      </x:c>
    </x:row>
    <x:row r="109">
      <x:c r="A109" t="str">
        <x:v>P108</x:v>
      </x:c>
      <x:c r="B109" s="24" t="n">
        <x:v>0.06992447496082965</x:v>
      </x:c>
      <x:c r="C109" s="24" t="n">
        <x:v>0.06714371023737901</x:v>
      </x:c>
      <x:c r="D109" s="26" t="n">
        <x:v>0.44567800699477356</x:v>
      </x:c>
      <x:c r="E109" s="16" t="n">
        <x:v>0.14272257886225184</x:v>
      </x:c>
      <x:c r="F109" s="16" t="n">
        <x:v>0.10350134436048641</x:v>
      </x:c>
      <x:c r="G109" s="16" t="n">
        <x:v>0.2664429108953504</x:v>
      </x:c>
      <x:c r="H109" s="16" t="n">
        <x:v>0.13029283815368647</x:v>
      </x:c>
      <x:c r="I109" s="16" t="n">
        <x:v>0.04349845100957359</x:v>
      </x:c>
      <x:c r="J109" s="16" t="n">
        <x:v>0.31354187671865125</x:v>
      </x:c>
    </x:row>
    <x:row r="110">
      <x:c r="A110" t="str">
        <x:v>P109</x:v>
      </x:c>
      <x:c r="B110" s="24" t="n">
        <x:v>0.09029394356941456</x:v>
      </x:c>
      <x:c r="C110" s="24" t="n">
        <x:v>0.0705013557864393</x:v>
      </x:c>
      <x:c r="D110" s="26" t="n">
        <x:v>0.7133755515534131</x:v>
      </x:c>
      <x:c r="E110" s="16" t="n">
        <x:v>0.036416218391006755</x:v>
      </x:c>
      <x:c r="F110" s="16" t="n">
        <x:v>0.21720329287720266</x:v>
      </x:c>
      <x:c r="G110" s="16" t="n">
        <x:v>0.059127133182745144</x:v>
      </x:c>
      <x:c r="H110" s="16" t="n">
        <x:v>0.24313380163848083</x:v>
      </x:c>
      <x:c r="I110" s="16" t="n">
        <x:v>0.17677915606462052</x:v>
      </x:c>
      <x:c r="J110" s="16" t="n">
        <x:v>0.2673403978459441</x:v>
      </x:c>
    </x:row>
    <x:row r="111">
      <x:c r="A111" t="str">
        <x:v>P110</x:v>
      </x:c>
      <x:c r="B111" s="24" t="n">
        <x:v>0.08405848072340838</x:v>
      </x:c>
      <x:c r="C111" s="24" t="n">
        <x:v>0.07067014750554472</x:v>
      </x:c>
      <x:c r="D111" s="26" t="n">
        <x:v>0.6234383580415137</x:v>
      </x:c>
      <x:c r="E111" s="16" t="n">
        <x:v>0.14476423853222536</x:v>
      </x:c>
      <x:c r="F111" s="16" t="n">
        <x:v>0.20201354051973858</x:v>
      </x:c>
      <x:c r="G111" s="16" t="n">
        <x:v>0.11893029837446586</x:v>
      </x:c>
      <x:c r="H111" s="16" t="n">
        <x:v>0.21353895354648175</x:v>
      </x:c>
      <x:c r="I111" s="16" t="n">
        <x:v>0.09806497220686677</x:v>
      </x:c>
      <x:c r="J111" s="16" t="n">
        <x:v>0.22268799682022153</x:v>
      </x:c>
    </x:row>
    <x:row r="112">
      <x:c r="A112" t="str">
        <x:v>P111</x:v>
      </x:c>
      <x:c r="B112" s="24" t="n">
        <x:v>0.10469137475836177</x:v>
      </x:c>
      <x:c r="C112" s="24" t="n">
        <x:v>0.0861927472822271</x:v>
      </x:c>
      <x:c r="D112" s="26" t="n">
        <x:v>0.7505431349871949</x:v>
      </x:c>
      <x:c r="E112" s="16" t="n">
        <x:v>0.20557134769358934</x:v>
      </x:c>
      <x:c r="F112" s="16" t="n">
        <x:v>0.29274739269459615</x:v>
      </x:c>
      <x:c r="G112" s="16" t="n">
        <x:v>0.013640528596424306</x:v>
      </x:c>
      <x:c r="H112" s="16" t="n">
        <x:v>0.11607087566645523</x:v>
      </x:c>
      <x:c r="I112" s="16" t="n">
        <x:v>0.2867873630857748</x:v>
      </x:c>
      <x:c r="J112" s="16" t="n">
        <x:v>0.0851824922631603</x:v>
      </x:c>
    </x:row>
    <x:row r="113">
      <x:c r="A113" t="str">
        <x:v>P112</x:v>
      </x:c>
      <x:c r="B113" s="24" t="n">
        <x:v>0.1001544833726713</x:v>
      </x:c>
      <x:c r="C113" s="24" t="n">
        <x:v>0.09191347111840384</x:v>
      </x:c>
      <x:c r="D113" s="26" t="n">
        <x:v>0.6544686283817929</x:v>
      </x:c>
      <x:c r="E113" s="16" t="n">
        <x:v>0.28867701635430315</x:v>
      </x:c>
      <x:c r="F113" s="16" t="n">
        <x:v>0.2227868498926733</x:v>
      </x:c>
      <x:c r="G113" s="16" t="n">
        <x:v>0.005309506318905882</x:v>
      </x:c>
      <x:c r="H113" s="16" t="n">
        <x:v>0.02194487863787472</x:v>
      </x:c>
      <x:c r="I113" s="16" t="n">
        <x:v>0.2603582308406133</x:v>
      </x:c>
      <x:c r="J113" s="16" t="n">
        <x:v>0.2009235179556296</x:v>
      </x:c>
    </x:row>
    <x:row r="114">
      <x:c r="A114" t="str">
        <x:v>P113</x:v>
      </x:c>
      <x:c r="B114" s="24" t="n">
        <x:v>0.08423360807845603</x:v>
      </x:c>
      <x:c r="C114" s="24" t="n">
        <x:v>0.08765369282557003</x:v>
      </x:c>
      <x:c r="D114" s="26" t="n">
        <x:v>0.5046405536670369</x:v>
      </x:c>
      <x:c r="E114" s="16" t="n">
        <x:v>0.3073234767163003</x:v>
      </x:c>
      <x:c r="F114" s="16" t="n">
        <x:v>0.11328813495865672</x:v>
      </x:c>
      <x:c r="G114" s="16" t="n">
        <x:v>0.05462507541089876</x:v>
      </x:c>
      <x:c r="H114" s="16" t="n">
        <x:v>0.041458727206586755</x:v>
      </x:c>
      <x:c r="I114" s="16" t="n">
        <x:v>0.14235897281503782</x:v>
      </x:c>
      <x:c r="J114" s="16" t="n">
        <x:v>0.3409456128925196</x:v>
      </x:c>
    </x:row>
    <x:row r="115">
      <x:c r="A115" t="str">
        <x:v>P114</x:v>
      </x:c>
      <x:c r="B115" s="24" t="n">
        <x:v>0.0839490048249183</x:v>
      </x:c>
      <x:c r="C115" s="24" t="n">
        <x:v>0.06654505430108669</x:v>
      </x:c>
      <x:c r="D115" s="26" t="n">
        <x:v>0.6604398371375376</x:v>
      </x:c>
      <x:c r="E115" s="16" t="n">
        <x:v>0.266114942729448</x:v>
      </x:c>
      <x:c r="F115" s="16" t="n">
        <x:v>0.15871073082405146</x:v>
      </x:c>
      <x:c r="G115" s="16" t="n">
        <x:v>0.15404142127622295</x:v>
      </x:c>
      <x:c r="H115" s="16" t="n">
        <x:v>0.18415153950676197</x:v>
      </x:c>
      <x:c r="I115" s="16" t="n">
        <x:v>0.22035622153288056</x:v>
      </x:c>
      <x:c r="J115" s="16" t="n">
        <x:v>0.016625144130635046</x:v>
      </x:c>
    </x:row>
    <x:row r="116">
      <x:c r="A116" t="str">
        <x:v>P115</x:v>
      </x:c>
      <x:c r="B116" s="24" t="n">
        <x:v>0.09078960669216563</x:v>
      </x:c>
      <x:c r="C116" s="24" t="n">
        <x:v>0.08205285795156925</x:v>
      </x:c>
      <x:c r="D116" s="26" t="n">
        <x:v>0.6189864431308852</x:v>
      </x:c>
      <x:c r="E116" s="16" t="n">
        <x:v>0.25688229392829726</x:v>
      </x:c>
      <x:c r="F116" s="16" t="n">
        <x:v>0.2396134121798646</x:v>
      </x:c>
      <x:c r="G116" s="16" t="n">
        <x:v>0.12785661943083634</x:v>
      </x:c>
      <x:c r="H116" s="16" t="n">
        <x:v>0.09243721341304563</x:v>
      </x:c>
      <x:c r="I116" s="16" t="n">
        <x:v>0.14524529703471764</x:v>
      </x:c>
      <x:c r="J116" s="16" t="n">
        <x:v>0.13796516401323844</x:v>
      </x:c>
    </x:row>
    <x:row r="117">
      <x:c r="A117" t="str">
        <x:v>P116</x:v>
      </x:c>
      <x:c r="B117" s="24" t="n">
        <x:v>0.06854254935922688</x:v>
      </x:c>
      <x:c r="C117" s="24" t="n">
        <x:v>0.04468858375725543</x:v>
      </x:c>
      <x:c r="D117" s="26" t="n">
        <x:v>0.638698901586758</x:v>
      </x:c>
      <x:c r="E117" s="16" t="n">
        <x:v>0.10593416494410476</x:v>
      </x:c>
      <x:c r="F117" s="16" t="n">
        <x:v>0.04162414520575684</x:v>
      </x:c>
      <x:c r="G117" s="16" t="n">
        <x:v>0.24196440749980364</x:v>
      </x:c>
      <x:c r="H117" s="16" t="n">
        <x:v>0.2968445806301688</x:v>
      </x:c>
      <x:c r="I117" s="16" t="n">
        <x:v>0.2167983179135306</x:v>
      </x:c>
      <x:c r="J117" s="16" t="n">
        <x:v>0.09683438380663542</x:v>
      </x:c>
    </x:row>
    <x:row r="118">
      <x:c r="A118" t="str">
        <x:v>P117</x:v>
      </x:c>
      <x:c r="B118" s="24" t="n">
        <x:v>0.06826967876549705</x:v>
      </x:c>
      <x:c r="C118" s="24" t="n">
        <x:v>0.061225985238865605</x:v>
      </x:c>
      <x:c r="D118" s="26" t="n">
        <x:v>0.46172680856349474</x:v>
      </x:c>
      <x:c r="E118" s="16" t="n">
        <x:v>0.15527211152631734</x:v>
      </x:c>
      <x:c r="F118" s="16" t="n">
        <x:v>0.06675458702783313</x:v>
      </x:c>
      <x:c r="G118" s="16" t="n">
        <x:v>0.33313409573238073</x:v>
      </x:c>
      <x:c r="H118" s="16" t="n">
        <x:v>0.08909443280887516</x:v>
      </x:c>
      <x:c r="I118" s="16" t="n">
        <x:v>0.12540109426273122</x:v>
      </x:c>
      <x:c r="J118" s="16" t="n">
        <x:v>0.2303436786418623</x:v>
      </x:c>
    </x:row>
    <x:row r="119">
      <x:c r="A119" t="str">
        <x:v>P118</x:v>
      </x:c>
      <x:c r="B119" s="24" t="n">
        <x:v>0.09178497841391686</x:v>
      </x:c>
      <x:c r="C119" s="24" t="n">
        <x:v>0.07452289725843178</x:v>
      </x:c>
      <x:c r="D119" s="26" t="n">
        <x:v>0.6948868108862707</x:v>
      </x:c>
      <x:c r="E119" s="16" t="n">
        <x:v>0.2601656803783706</x:v>
      </x:c>
      <x:c r="F119" s="16" t="n">
        <x:v>0.15933653392860764</x:v>
      </x:c>
      <x:c r="G119" s="16" t="n">
        <x:v>0.04859321740367311</x:v>
      </x:c>
      <x:c r="H119" s="16" t="n">
        <x:v>0.14477088338411814</x:v>
      </x:c>
      <x:c r="I119" s="16" t="n">
        <x:v>0.2883607006779457</x:v>
      </x:c>
      <x:c r="J119" s="16" t="n">
        <x:v>0.09877298422728477</x:v>
      </x:c>
    </x:row>
    <x:row r="120">
      <x:c r="A120" t="str">
        <x:v>P119</x:v>
      </x:c>
      <x:c r="B120" s="24" t="n">
        <x:v>0.08015962539421961</x:v>
      </x:c>
      <x:c r="C120" s="24" t="n">
        <x:v>0.07065196833460492</x:v>
      </x:c>
      <x:c r="D120" s="26" t="n">
        <x:v>0.5684148133570068</x:v>
      </x:c>
      <x:c r="E120" s="16" t="n">
        <x:v>0.15161409811958973</x:v>
      </x:c>
      <x:c r="F120" s="16" t="n">
        <x:v>0.10146341104863109</x:v>
      </x:c>
      <x:c r="G120" s="16" t="n">
        <x:v>0.13710961124803675</x:v>
      </x:c>
      <x:c r="H120" s="16" t="n">
        <x:v>0.12454103329892455</x:v>
      </x:c>
      <x:c r="I120" s="16" t="n">
        <x:v>0.1775550501303877</x:v>
      </x:c>
      <x:c r="J120" s="16" t="n">
        <x:v>0.30771679615443004</x:v>
      </x:c>
    </x:row>
    <x:row r="121">
      <x:c r="A121" t="str">
        <x:v>P120</x:v>
      </x:c>
      <x:c r="B121" s="24" t="n">
        <x:v>0.08060063706722609</x:v>
      </x:c>
      <x:c r="C121" s="24" t="n">
        <x:v>0.07363880246964377</x:v>
      </x:c>
      <x:c r="D121" s="26" t="n">
        <x:v>0.5513484155851522</x:v>
      </x:c>
      <x:c r="E121" s="16" t="n">
        <x:v>0.27342931324821473</x:v>
      </x:c>
      <x:c r="F121" s="16" t="n">
        <x:v>0.05781093693427411</x:v>
      </x:c>
      <x:c r="G121" s="16" t="n">
        <x:v>0.07937563059939008</x:v>
      </x:c>
      <x:c r="H121" s="16" t="n">
        <x:v>0.11516937820466375</x:v>
      </x:c>
      <x:c r="I121" s="16" t="n">
        <x:v>0.22785548743754697</x:v>
      </x:c>
      <x:c r="J121" s="16" t="n">
        <x:v>0.24635925357591046</x:v>
      </x:c>
    </x:row>
    <x:row r="122">
      <x:c r="A122" t="str">
        <x:v>P121</x:v>
      </x:c>
      <x:c r="B122" s="24" t="n">
        <x:v>0.07578165724212882</x:v>
      </x:c>
      <x:c r="C122" s="24" t="n">
        <x:v>0.06097287187562665</x:v>
      </x:c>
      <x:c r="D122" s="26" t="n">
        <x:v>0.5868455288626844</x:v>
      </x:c>
      <x:c r="E122" s="16" t="n">
        <x:v>0.20945259999118854</x:v>
      </x:c>
      <x:c r="F122" s="16" t="n">
        <x:v>0.061537860743268634</x:v>
      </x:c>
      <x:c r="G122" s="16" t="n">
        <x:v>0.0635115315701938</x:v>
      </x:c>
      <x:c r="H122" s="16" t="n">
        <x:v>0.2811680812674842</x:v>
      </x:c>
      <x:c r="I122" s="16" t="n">
        <x:v>0.16742225690456308</x:v>
      </x:c>
      <x:c r="J122" s="16" t="n">
        <x:v>0.2169076695233018</x:v>
      </x:c>
    </x:row>
    <x:row r="123">
      <x:c r="A123" t="str">
        <x:v>P122</x:v>
      </x:c>
      <x:c r="B123" s="24" t="n">
        <x:v>0.08898173510504237</x:v>
      </x:c>
      <x:c r="C123" s="24" t="n">
        <x:v>0.07465275456275422</x:v>
      </x:c>
      <x:c r="D123" s="26" t="n">
        <x:v>0.6561276324220239</x:v>
      </x:c>
      <x:c r="E123" s="16" t="n">
        <x:v>0.07025238406923134</x:v>
      </x:c>
      <x:c r="F123" s="16" t="n">
        <x:v>0.21305304546220047</x:v>
      </x:c>
      <x:c r="G123" s="16" t="n">
        <x:v>0.10117685455536378</x:v>
      </x:c>
      <x:c r="H123" s="16" t="n">
        <x:v>0.16701005610163544</x:v>
      </x:c>
      <x:c r="I123" s="16" t="n">
        <x:v>0.15273309413300257</x:v>
      </x:c>
      <x:c r="J123" s="16" t="n">
        <x:v>0.2957745656785664</x:v>
      </x:c>
    </x:row>
    <x:row r="124">
      <x:c r="A124" t="str">
        <x:v>P123</x:v>
      </x:c>
      <x:c r="B124" s="24" t="n">
        <x:v>0.09492424133694177</x:v>
      </x:c>
      <x:c r="C124" s="24" t="n">
        <x:v>0.07058665583426105</x:v>
      </x:c>
      <x:c r="D124" s="26" t="n">
        <x:v>0.7781108296999513</x:v>
      </x:c>
      <x:c r="E124" s="16" t="n">
        <x:v>0.11599676712025817</x:v>
      </x:c>
      <x:c r="F124" s="16" t="n">
        <x:v>0.23818045217937608</x:v>
      </x:c>
      <x:c r="G124" s="16" t="n">
        <x:v>0.09941876470700116</x:v>
      </x:c>
      <x:c r="H124" s="16" t="n">
        <x:v>0.19515794818016932</x:v>
      </x:c>
      <x:c r="I124" s="16" t="n">
        <x:v>0.2760288828156891</x:v>
      </x:c>
      <x:c r="J124" s="16" t="n">
        <x:v>0.07521718499750624</x:v>
      </x:c>
    </x:row>
    <x:row r="125">
      <x:c r="A125" t="str">
        <x:v>P124</x:v>
      </x:c>
      <x:c r="B125" s="24" t="n">
        <x:v>0.0855602582266437</x:v>
      </x:c>
      <x:c r="C125" s="24" t="n">
        <x:v>0.06505571826534981</x:v>
      </x:c>
      <x:c r="D125" s="26" t="n">
        <x:v>0.700326726711588</x:v>
      </x:c>
      <x:c r="E125" s="16" t="n">
        <x:v>0.10240956989487134</x:v>
      </x:c>
      <x:c r="F125" s="16" t="n">
        <x:v>0.23944055245344764</x:v>
      </x:c>
      <x:c r="G125" s="16" t="n">
        <x:v>0.20270356961535155</x:v>
      </x:c>
      <x:c r="H125" s="16" t="n">
        <x:v>0.21651140864325125</x:v>
      </x:c>
      <x:c r="I125" s="16" t="n">
        <x:v>0.14734177887739838</x:v>
      </x:c>
      <x:c r="J125" s="16" t="n">
        <x:v>0.09159312051567983</x:v>
      </x:c>
    </x:row>
    <x:row r="126">
      <x:c r="A126" t="str">
        <x:v>P125</x:v>
      </x:c>
      <x:c r="B126" s="24" t="n">
        <x:v>0.09408399837752879</x:v>
      </x:c>
      <x:c r="C126" s="24" t="n">
        <x:v>0.07177363379906053</x:v>
      </x:c>
      <x:c r="D126" s="26" t="n">
        <x:v>0.7535357416756111</x:v>
      </x:c>
      <x:c r="E126" s="16" t="n">
        <x:v>0.03612590969144908</x:v>
      </x:c>
      <x:c r="F126" s="16" t="n">
        <x:v>0.21995849782626498</x:v>
      </x:c>
      <x:c r="G126" s="16" t="n">
        <x:v>0.02918055038666244</x:v>
      </x:c>
      <x:c r="H126" s="16" t="n">
        <x:v>0.2372293925493569</x:v>
      </x:c>
      <x:c r="I126" s="16" t="n">
        <x:v>0.23617951142739008</x:v>
      </x:c>
      <x:c r="J126" s="16" t="n">
        <x:v>0.24132613811887657</x:v>
      </x:c>
    </x:row>
    <x:row r="127">
      <x:c r="A127" t="str">
        <x:v>P126</x:v>
      </x:c>
      <x:c r="B127" s="24" t="n">
        <x:v>0.08437725876019475</x:v>
      </x:c>
      <x:c r="C127" s="24" t="n">
        <x:v>0.06803701096441353</x:v>
      </x:c>
      <x:c r="D127" s="26" t="n">
        <x:v>0.6522517396216316</x:v>
      </x:c>
      <x:c r="E127" s="16" t="n">
        <x:v>0.20763602324589497</x:v>
      </x:c>
      <x:c r="F127" s="16" t="n">
        <x:v>0.1762489253728177</x:v>
      </x:c>
      <x:c r="G127" s="16" t="n">
        <x:v>0.10346252570135976</x:v>
      </x:c>
      <x:c r="H127" s="16" t="n">
        <x:v>0.22157849858062856</x:v>
      </x:c>
      <x:c r="I127" s="16" t="n">
        <x:v>0.15471669706521957</x:v>
      </x:c>
      <x:c r="J127" s="16" t="n">
        <x:v>0.1363573300340795</x:v>
      </x:c>
    </x:row>
    <x:row r="128">
      <x:c r="A128" t="str">
        <x:v>P127</x:v>
      </x:c>
      <x:c r="B128" s="24" t="n">
        <x:v>0.07625856089649763</x:v>
      </x:c>
      <x:c r="C128" s="24" t="n">
        <x:v>0.05982513347554529</x:v>
      </x:c>
      <x:c r="D128" s="26" t="n">
        <x:v>0.6060757208560016</x:v>
      </x:c>
      <x:c r="E128" s="16" t="n">
        <x:v>0.06128241252428806</x:v>
      </x:c>
      <x:c r="F128" s="16" t="n">
        <x:v>0.054002266759721605</x:v>
      </x:c>
      <x:c r="G128" s="16" t="n">
        <x:v>0.3059326626813957</x:v>
      </x:c>
      <x:c r="H128" s="16" t="n">
        <x:v>0.06297517469654484</x:v>
      </x:c>
      <x:c r="I128" s="16" t="n">
        <x:v>0.3185072930474739</x:v>
      </x:c>
      <x:c r="J128" s="16" t="n">
        <x:v>0.19730019029057602</x:v>
      </x:c>
    </x:row>
    <x:row r="129">
      <x:c r="A129" t="str">
        <x:v>P128</x:v>
      </x:c>
      <x:c r="B129" s="24" t="n">
        <x:v>0.0739713039900376</x:v>
      </x:c>
      <x:c r="C129" s="24" t="n">
        <x:v>0.051436861859464424</x:v>
      </x:c>
      <x:c r="D129" s="26" t="n">
        <x:v>0.6604466672724679</x:v>
      </x:c>
      <x:c r="E129" s="16" t="n">
        <x:v>0.04131241343458425</x:v>
      </x:c>
      <x:c r="F129" s="16" t="n">
        <x:v>0.18048074728264807</x:v>
      </x:c>
      <x:c r="G129" s="16" t="n">
        <x:v>0.254241502782086</x:v>
      </x:c>
      <x:c r="H129" s="16" t="n">
        <x:v>0.31830937429518735</x:v>
      </x:c>
      <x:c r="I129" s="16" t="n">
        <x:v>0.0797418760368639</x:v>
      </x:c>
      <x:c r="J129" s="16" t="n">
        <x:v>0.12591408616863028</x:v>
      </x:c>
    </x:row>
    <x:row r="130">
      <x:c r="A130" t="str">
        <x:v>P129</x:v>
      </x:c>
      <x:c r="B130" s="24" t="n">
        <x:v>0.0849585659234009</x:v>
      </x:c>
      <x:c r="C130" s="24" t="n">
        <x:v>0.08174646964342283</x:v>
      </x:c>
      <x:c r="D130" s="26" t="n">
        <x:v>0.549975627320784</x:v>
      </x:c>
      <x:c r="E130" s="16" t="n">
        <x:v>0.22036929338542788</x:v>
      </x:c>
      <x:c r="F130" s="16" t="n">
        <x:v>0.22149561402448775</x:v>
      </x:c>
      <x:c r="G130" s="16" t="n">
        <x:v>0.10724022612732258</x:v>
      </x:c>
      <x:c r="H130" s="16" t="n">
        <x:v>0.15000848037277434</x:v>
      </x:c>
      <x:c r="I130" s="16" t="n">
        <x:v>0.04061052949478492</x:v>
      </x:c>
      <x:c r="J130" s="16" t="n">
        <x:v>0.2602758565952025</x:v>
      </x:c>
    </x:row>
    <x:row r="131">
      <x:c r="A131" t="str">
        <x:v>P130</x:v>
      </x:c>
      <x:c r="B131" s="24" t="n">
        <x:v>0.06675047168226045</x:v>
      </x:c>
      <x:c r="C131" s="24" t="n">
        <x:v>0.06383446889486534</x:v>
      </x:c>
      <x:c r="D131" s="26" t="n">
        <x:v>0.4190599866401047</x:v>
      </x:c>
      <x:c r="E131" s="16" t="n">
        <x:v>0.328948045416719</x:v>
      </x:c>
      <x:c r="F131" s="16" t="n">
        <x:v>0.041022960138245704</x:v>
      </x:c>
      <x:c r="G131" s="16" t="n">
        <x:v>0.2377803395813592</x:v>
      </x:c>
      <x:c r="H131" s="16" t="n">
        <x:v>0.17415304382075128</x:v>
      </x:c>
      <x:c r="I131" s="16" t="n">
        <x:v>0.10821956655982339</x:v>
      </x:c>
      <x:c r="J131" s="16" t="n">
        <x:v>0.10987604448310159</x:v>
      </x:c>
    </x:row>
    <x:row r="132">
      <x:c r="A132" t="str">
        <x:v>P131</x:v>
      </x:c>
      <x:c r="B132" s="24" t="n">
        <x:v>0.07546837589471322</x:v>
      </x:c>
      <x:c r="C132" s="24" t="n">
        <x:v>0.06208420931901914</x:v>
      </x:c>
      <x:c r="D132" s="26" t="n">
        <x:v>0.5712946381012811</x:v>
      </x:c>
      <x:c r="E132" s="16" t="n">
        <x:v>0.292870722549007</x:v>
      </x:c>
      <x:c r="F132" s="16" t="n">
        <x:v>0.03221789940084551</x:v>
      </x:c>
      <x:c r="G132" s="16" t="n">
        <x:v>0.17479680797550806</x:v>
      </x:c>
      <x:c r="H132" s="16" t="n">
        <x:v>0.15948520505181754</x:v>
      </x:c>
      <x:c r="I132" s="16" t="n">
        <x:v>0.28022334869015786</x:v>
      </x:c>
      <x:c r="J132" s="16" t="n">
        <x:v>0.06040601633266415</x:v>
      </x:c>
    </x:row>
    <x:row r="133">
      <x:c r="A133" t="str">
        <x:v>P132</x:v>
      </x:c>
      <x:c r="B133" s="24" t="n">
        <x:v>0.10039516400961968</x:v>
      </x:c>
      <x:c r="C133" s="24" t="n">
        <x:v>0.08746099189892047</x:v>
      </x:c>
      <x:c r="D133" s="26" t="n">
        <x:v>0.6905382925386778</x:v>
      </x:c>
      <x:c r="E133" s="16" t="n">
        <x:v>0.014840811038999292</x:v>
      </x:c>
      <x:c r="F133" s="16" t="n">
        <x:v>0.443940880756916</x:v>
      </x:c>
      <x:c r="G133" s="16" t="n">
        <x:v>0.16281628832440195</x:v>
      </x:c>
      <x:c r="H133" s="16" t="n">
        <x:v>0.2050579461588571</x:v>
      </x:c>
      <x:c r="I133" s="16" t="n">
        <x:v>0.060042184793303685</x:v>
      </x:c>
      <x:c r="J133" s="16" t="n">
        <x:v>0.1133018889275219</x:v>
      </x:c>
    </x:row>
    <x:row r="134">
      <x:c r="A134" t="str">
        <x:v>P133</x:v>
      </x:c>
      <x:c r="B134" s="24" t="n">
        <x:v>0.10330593514082764</x:v>
      </x:c>
      <x:c r="C134" s="24" t="n">
        <x:v>0.08906586197170685</x:v>
      </x:c>
      <x:c r="D134" s="26" t="n">
        <x:v>0.7107766515630618</x:v>
      </x:c>
      <x:c r="E134" s="16" t="n">
        <x:v>0.1109764866242599</x:v>
      </x:c>
      <x:c r="F134" s="16" t="n">
        <x:v>0.33477351524061144</x:v>
      </x:c>
      <x:c r="G134" s="16" t="n">
        <x:v>0.06616594579374854</x:v>
      </x:c>
      <x:c r="H134" s="16" t="n">
        <x:v>0.09369437404343146</x:v>
      </x:c>
      <x:c r="I134" s="16" t="n">
        <x:v>0.19729482115641903</x:v>
      </x:c>
      <x:c r="J134" s="16" t="n">
        <x:v>0.19709485714152966</x:v>
      </x:c>
    </x:row>
    <x:row r="135">
      <x:c r="A135" t="str">
        <x:v>P134</x:v>
      </x:c>
      <x:c r="B135" s="24" t="n">
        <x:v>0.08866402817202546</x:v>
      </x:c>
      <x:c r="C135" s="24" t="n">
        <x:v>0.06531970697743027</x:v>
      </x:c>
      <x:c r="D135" s="26" t="n">
        <x:v>0.7450129589350454</x:v>
      </x:c>
      <x:c r="E135" s="16" t="n">
        <x:v>0.01296948905281759</x:v>
      </x:c>
      <x:c r="F135" s="16" t="n">
        <x:v>0.26509021661929477</x:v>
      </x:c>
      <x:c r="G135" s="16" t="n">
        <x:v>0.22355240931689652</x:v>
      </x:c>
      <x:c r="H135" s="16" t="n">
        <x:v>0.20674645063821334</x:v>
      </x:c>
      <x:c r="I135" s="16" t="n">
        <x:v>0.18640689757536388</x:v>
      </x:c>
      <x:c r="J135" s="16" t="n">
        <x:v>0.10523453679741387</x:v>
      </x:c>
    </x:row>
    <x:row r="136">
      <x:c r="A136" t="str">
        <x:v>P135</x:v>
      </x:c>
      <x:c r="B136" s="24" t="n">
        <x:v>0.08413354601492973</x:v>
      </x:c>
      <x:c r="C136" s="24" t="n">
        <x:v>0.06634272529107023</x:v>
      </x:c>
      <x:c r="D136" s="26" t="n">
        <x:v>0.665235650499726</x:v>
      </x:c>
      <x:c r="E136" s="16" t="n">
        <x:v>0.14457582212312836</x:v>
      </x:c>
      <x:c r="F136" s="16" t="n">
        <x:v>0.1818269171031199</x:v>
      </x:c>
      <x:c r="G136" s="16" t="n">
        <x:v>0.1555424677902456</x:v>
      </x:c>
      <x:c r="H136" s="16" t="n">
        <x:v>0.19121879646756998</x:v>
      </x:c>
      <x:c r="I136" s="16" t="n">
        <x:v>0.16840789765843955</x:v>
      </x:c>
      <x:c r="J136" s="16" t="n">
        <x:v>0.15842809885749662</x:v>
      </x:c>
    </x:row>
    <x:row r="137">
      <x:c r="A137" t="str">
        <x:v>P136</x:v>
      </x:c>
      <x:c r="B137" s="24" t="n">
        <x:v>0.08690500432690373</x:v>
      </x:c>
      <x:c r="C137" s="24" t="n">
        <x:v>0.08427983401441583</x:v>
      </x:c>
      <x:c r="D137" s="26" t="n">
        <x:v>0.556538878788973</x:v>
      </x:c>
      <x:c r="E137" s="16" t="n">
        <x:v>0.29818025368600704</x:v>
      </x:c>
      <x:c r="F137" s="16" t="n">
        <x:v>0.2599608829064572</x:v>
      </x:c>
      <x:c r="G137" s="16" t="n">
        <x:v>0.10869310364955952</x:v>
      </x:c>
      <x:c r="H137" s="16" t="n">
        <x:v>0.16528622773583476</x:v>
      </x:c>
      <x:c r="I137" s="16" t="n">
        <x:v>0.030776276762136463</x:v>
      </x:c>
      <x:c r="J137" s="16" t="n">
        <x:v>0.1371032552600049</x:v>
      </x:c>
    </x:row>
    <x:row r="138">
      <x:c r="A138" t="str">
        <x:v>P137</x:v>
      </x:c>
      <x:c r="B138" s="24" t="n">
        <x:v>0.0712535100521805</x:v>
      </x:c>
      <x:c r="C138" s="24" t="n">
        <x:v>0.06617742448836987</x:v>
      </x:c>
      <x:c r="D138" s="26" t="n">
        <x:v>0.47226845550136276</x:v>
      </x:c>
      <x:c r="E138" s="16" t="n">
        <x:v>0.2713463632952625</x:v>
      </x:c>
      <x:c r="F138" s="16" t="n">
        <x:v>0.09183662054167827</x:v>
      </x:c>
      <x:c r="G138" s="16" t="n">
        <x:v>0.24454924044481424</x:v>
      </x:c>
      <x:c r="H138" s="16" t="n">
        <x:v>0.14129542778749887</x:v>
      </x:c>
      <x:c r="I138" s="16" t="n">
        <x:v>0.09842840546574246</x:v>
      </x:c>
      <x:c r="J138" s="16" t="n">
        <x:v>0.15254394246500363</x:v>
      </x:c>
    </x:row>
    <x:row r="139">
      <x:c r="A139" t="str">
        <x:v>P138</x:v>
      </x:c>
      <x:c r="B139" s="24" t="n">
        <x:v>0.08109518167916097</x:v>
      </x:c>
      <x:c r="C139" s="24" t="n">
        <x:v>0.06309574714460783</x:v>
      </x:c>
      <x:c r="D139" s="26" t="n">
        <x:v>0.6513146058002257</x:v>
      </x:c>
      <x:c r="E139" s="16" t="n">
        <x:v>0.16948028706111032</x:v>
      </x:c>
      <x:c r="F139" s="16" t="n">
        <x:v>0.13244987663703056</x:v>
      </x:c>
      <x:c r="G139" s="16" t="n">
        <x:v>0.12695003054481874</x:v>
      </x:c>
      <x:c r="H139" s="16" t="n">
        <x:v>0.22109129061089175</x:v>
      </x:c>
      <x:c r="I139" s="16" t="n">
        <x:v>0.18318852210970168</x:v>
      </x:c>
      <x:c r="J139" s="16" t="n">
        <x:v>0.16683999303644687</x:v>
      </x:c>
    </x:row>
    <x:row r="140">
      <x:c r="A140" t="str">
        <x:v>P139</x:v>
      </x:c>
      <x:c r="B140" s="24" t="n">
        <x:v>0.07750785393452797</x:v>
      </x:c>
      <x:c r="C140" s="24" t="n">
        <x:v>0.07044366283611318</x:v>
      </x:c>
      <x:c r="D140" s="26" t="n">
        <x:v>0.532451783800479</x:v>
      </x:c>
      <x:c r="E140" s="16" t="n">
        <x:v>0.053611214276263704</x:v>
      </x:c>
      <x:c r="F140" s="16" t="n">
        <x:v>0.009277946883255785</x:v>
      </x:c>
      <x:c r="G140" s="16" t="n">
        <x:v>0.17438918842807907</x:v>
      </x:c>
      <x:c r="H140" s="16" t="n">
        <x:v>0.0566828534152624</x:v>
      </x:c>
      <x:c r="I140" s="16" t="n">
        <x:v>0.3056397207492207</x:v>
      </x:c>
      <x:c r="J140" s="16" t="n">
        <x:v>0.4003990762479184</x:v>
      </x:c>
    </x:row>
    <x:row r="141">
      <x:c r="A141" t="str">
        <x:v>P140</x:v>
      </x:c>
      <x:c r="B141" s="24" t="n">
        <x:v>0.07496978368266083</x:v>
      </x:c>
      <x:c r="C141" s="24" t="n">
        <x:v>0.06156568448140274</x:v>
      </x:c>
      <x:c r="D141" s="26" t="n">
        <x:v>0.5680077136675743</x:v>
      </x:c>
      <x:c r="E141" s="16" t="n">
        <x:v>0.19104947579377335</x:v>
      </x:c>
      <x:c r="F141" s="16" t="n">
        <x:v>0.11505108520149179</x:v>
      </x:c>
      <x:c r="G141" s="16" t="n">
        <x:v>0.21677978580706536</x:v>
      </x:c>
      <x:c r="H141" s="16" t="n">
        <x:v>0.18524856633977652</x:v>
      </x:c>
      <x:c r="I141" s="16" t="n">
        <x:v>0.13505863866118936</x:v>
      </x:c>
      <x:c r="J141" s="16" t="n">
        <x:v>0.15681244819670356</x:v>
      </x:c>
    </x:row>
    <x:row r="142">
      <x:c r="A142" t="str">
        <x:v>P141</x:v>
      </x:c>
      <x:c r="B142" s="24" t="n">
        <x:v>0.061589128917559854</x:v>
      </x:c>
      <x:c r="C142" s="24" t="n">
        <x:v>0.04176289361652039</x:v>
      </x:c>
      <x:c r="D142" s="26" t="n">
        <x:v>0.5169452365010387</x:v>
      </x:c>
      <x:c r="E142" s="16" t="n">
        <x:v>0.057203526529393554</x:v>
      </x:c>
      <x:c r="F142" s="16" t="n">
        <x:v>0.006300799363445245</x:v>
      </x:c>
      <x:c r="G142" s="16" t="n">
        <x:v>0.289479306341406</x:v>
      </x:c>
      <x:c r="H142" s="16" t="n">
        <x:v>0.3044053318250884</x:v>
      </x:c>
      <x:c r="I142" s="16" t="n">
        <x:v>0.16024447633791802</x:v>
      </x:c>
      <x:c r="J142" s="16" t="n">
        <x:v>0.18236655960274883</x:v>
      </x:c>
    </x:row>
    <x:row r="143">
      <x:c r="A143" t="str">
        <x:v>P142</x:v>
      </x:c>
      <x:c r="B143" s="24" t="n">
        <x:v>0.06383967813920566</x:v>
      </x:c>
      <x:c r="C143" s="24" t="n">
        <x:v>0.05733929503393495</x:v>
      </x:c>
      <x:c r="D143" s="26" t="n">
        <x:v>0.4157651070718028</x:v>
      </x:c>
      <x:c r="E143" s="16" t="n">
        <x:v>0.24624260311930146</x:v>
      </x:c>
      <x:c r="F143" s="16" t="n">
        <x:v>0.03096836240401844</x:v>
      </x:c>
      <x:c r="G143" s="16" t="n">
        <x:v>0.2248394588137379</x:v>
      </x:c>
      <x:c r="H143" s="16" t="n">
        <x:v>0.24790638212571758</x:v>
      </x:c>
      <x:c r="I143" s="16" t="n">
        <x:v>0.07411383020056206</x:v>
      </x:c>
      <x:c r="J143" s="16" t="n">
        <x:v>0.17592936333666254</x:v>
      </x:c>
    </x:row>
    <x:row r="144">
      <x:c r="A144" t="str">
        <x:v>P143</x:v>
      </x:c>
      <x:c r="B144" s="24" t="n">
        <x:v>0.09625857312270902</x:v>
      </x:c>
      <x:c r="C144" s="24" t="n">
        <x:v>0.08603190718304066</x:v>
      </x:c>
      <x:c r="D144" s="26" t="n">
        <x:v>0.653926839062324</x:v>
      </x:c>
      <x:c r="E144" s="16" t="n">
        <x:v>0.21979650381608942</x:v>
      </x:c>
      <x:c r="F144" s="16" t="n">
        <x:v>0.25895201959538156</x:v>
      </x:c>
      <x:c r="G144" s="16" t="n">
        <x:v>0.11284458541135406</x:v>
      </x:c>
      <x:c r="H144" s="16" t="n">
        <x:v>0.04165835475046579</x:v>
      </x:c>
      <x:c r="I144" s="16" t="n">
        <x:v>0.19892677288948515</x:v>
      </x:c>
      <x:c r="J144" s="16" t="n">
        <x:v>0.16782176353722397</x:v>
      </x:c>
    </x:row>
    <x:row r="145">
      <x:c r="A145" t="str">
        <x:v>P144</x:v>
      </x:c>
      <x:c r="B145" s="24" t="n">
        <x:v>0.08399724120178109</x:v>
      </x:c>
      <x:c r="C145" s="24" t="n">
        <x:v>0.05809355795161823</x:v>
      </x:c>
      <x:c r="D145" s="26" t="n">
        <x:v>0.7573514646567713</x:v>
      </x:c>
      <x:c r="E145" s="16" t="n">
        <x:v>0.21811086977410285</x:v>
      </x:c>
      <x:c r="F145" s="16" t="n">
        <x:v>0.17316582147750573</x:v>
      </x:c>
      <x:c r="G145" s="16" t="n">
        <x:v>0.012404947799911104</x:v>
      </x:c>
      <x:c r="H145" s="16" t="n">
        <x:v>0.40739765580927134</x:v>
      </x:c>
      <x:c r="I145" s="16" t="n">
        <x:v>0.1689848380436204</x:v>
      </x:c>
      <x:c r="J145" s="16" t="n">
        <x:v>0.01993586709558836</x:v>
      </x:c>
    </x:row>
    <x:row r="146">
      <x:c r="A146" t="str">
        <x:v>P145</x:v>
      </x:c>
      <x:c r="B146" s="24" t="n">
        <x:v>0.09907054796631654</x:v>
      </x:c>
      <x:c r="C146" s="24" t="n">
        <x:v>0.06679206167815996</x:v>
      </x:c>
      <x:c r="D146" s="26" t="n">
        <x:v>0.8843947391675103</x:v>
      </x:c>
      <x:c r="E146" s="16" t="n">
        <x:v>0.046161646379894956</x:v>
      </x:c>
      <x:c r="F146" s="16" t="n">
        <x:v>0.263348366559446</x:v>
      </x:c>
      <x:c r="G146" s="16" t="n">
        <x:v>0.015872909364595726</x:v>
      </x:c>
      <x:c r="H146" s="16" t="n">
        <x:v>0.34102727995726884</x:v>
      </x:c>
      <x:c r="I146" s="16" t="n">
        <x:v>0.3314205059229621</x:v>
      </x:c>
      <x:c r="J146" s="16" t="n">
        <x:v>0.0021692918158323893</x:v>
      </x:c>
    </x:row>
    <x:row r="147">
      <x:c r="A147" t="str">
        <x:v>P146</x:v>
      </x:c>
      <x:c r="B147" s="24" t="n">
        <x:v>0.0718357873009241</x:v>
      </x:c>
      <x:c r="C147" s="24" t="n">
        <x:v>0.061943017774302965</x:v>
      </x:c>
      <x:c r="D147" s="26" t="n">
        <x:v>0.513952797988011</x:v>
      </x:c>
      <x:c r="E147" s="16" t="n">
        <x:v>0.2491246399127436</x:v>
      </x:c>
      <x:c r="F147" s="16" t="n">
        <x:v>0.11846992547995985</x:v>
      </x:c>
      <x:c r="G147" s="16" t="n">
        <x:v>0.11243688182740051</x:v>
      </x:c>
      <x:c r="H147" s="16" t="n">
        <x:v>0.33107921446862854</x:v>
      </x:c>
      <x:c r="I147" s="16" t="n">
        <x:v>0.027643818320553376</x:v>
      </x:c>
      <x:c r="J147" s="16" t="n">
        <x:v>0.16124551999071413</x:v>
      </x:c>
    </x:row>
    <x:row r="148">
      <x:c r="A148" t="str">
        <x:v>P147</x:v>
      </x:c>
      <x:c r="B148" s="24" t="n">
        <x:v>0.0666603552288656</x:v>
      </x:c>
      <x:c r="C148" s="24" t="n">
        <x:v>0.0718362826095929</x:v>
      </x:c>
      <x:c r="D148" s="26" t="n">
        <x:v>0.37112659870995907</x:v>
      </x:c>
      <x:c r="E148" s="16" t="n">
        <x:v>0.3859642380239434</x:v>
      </x:c>
      <x:c r="F148" s="16" t="n">
        <x:v>0.03501625759934979</x:v>
      </x:c>
      <x:c r="G148" s="16" t="n">
        <x:v>0.24554598119915508</x:v>
      </x:c>
      <x:c r="H148" s="16" t="n">
        <x:v>0.10423407977661743</x:v>
      </x:c>
      <x:c r="I148" s="16" t="n">
        <x:v>0.09285297925833422</x:v>
      </x:c>
      <x:c r="J148" s="16" t="n">
        <x:v>0.1363864641425999</x:v>
      </x:c>
    </x:row>
    <x:row r="149">
      <x:c r="A149" t="str">
        <x:v>P148</x:v>
      </x:c>
      <x:c r="B149" s="24" t="n">
        <x:v>0.07796097501344934</x:v>
      </x:c>
      <x:c r="C149" s="24" t="n">
        <x:v>0.05828587901897471</x:v>
      </x:c>
      <x:c r="D149" s="26" t="n">
        <x:v>0.6512893972327554</x:v>
      </x:c>
      <x:c r="E149" s="16" t="n">
        <x:v>0.16910414299603957</x:v>
      </x:c>
      <x:c r="F149" s="16" t="n">
        <x:v>0.09937762510127665</x:v>
      </x:c>
      <x:c r="G149" s="16" t="n">
        <x:v>0.16962531779784346</x:v>
      </x:c>
      <x:c r="H149" s="16" t="n">
        <x:v>0.21811962555859735</x:v>
      </x:c>
      <x:c r="I149" s="16" t="n">
        <x:v>0.21661873549151267</x:v>
      </x:c>
      <x:c r="J149" s="16" t="n">
        <x:v>0.12715455305473045</x:v>
      </x:c>
    </x:row>
    <x:row r="150">
      <x:c r="A150" t="str">
        <x:v>P149</x:v>
      </x:c>
      <x:c r="B150" s="24" t="n">
        <x:v>0.09340337116154451</x:v>
      </x:c>
      <x:c r="C150" s="24" t="n">
        <x:v>0.08574459032445811</x:v>
      </x:c>
      <x:c r="D150" s="26" t="n">
        <x:v>0.6228191301569673</x:v>
      </x:c>
      <x:c r="E150" s="16" t="n">
        <x:v>0.09938339192445847</x:v>
      </x:c>
      <x:c r="F150" s="16" t="n">
        <x:v>0.24493179486843775</x:v>
      </x:c>
      <x:c r="G150" s="16" t="n">
        <x:v>0.03582662128883496</x:v>
      </x:c>
      <x:c r="H150" s="16" t="n">
        <x:v>0.13273442330517016</x:v>
      </x:c>
      <x:c r="I150" s="16" t="n">
        <x:v>0.11749071219307952</x:v>
      </x:c>
      <x:c r="J150" s="16" t="n">
        <x:v>0.3696330564200192</x:v>
      </x:c>
    </x:row>
    <x:row r="151">
      <x:c r="A151" t="str">
        <x:v>P150</x:v>
      </x:c>
      <x:c r="B151" s="24" t="n">
        <x:v>0.08254444730978183</x:v>
      </x:c>
      <x:c r="C151" s="24" t="n">
        <x:v>0.07109569052442538</x:v>
      </x:c>
      <x:c r="D151" s="26" t="n">
        <x:v>0.5984110569284845</x:v>
      </x:c>
      <x:c r="E151" s="16" t="n">
        <x:v>0.17762565844563297</x:v>
      </x:c>
      <x:c r="F151" s="16" t="n">
        <x:v>0.12431310401432068</x:v>
      </x:c>
      <x:c r="G151" s="16" t="n">
        <x:v>0.08958945406937298</x:v>
      </x:c>
      <x:c r="H151" s="16" t="n">
        <x:v>0.16782829838882832</x:v>
      </x:c>
      <x:c r="I151" s="16" t="n">
        <x:v>0.16826631810446666</x:v>
      </x:c>
      <x:c r="J151" s="16" t="n">
        <x:v>0.2723771669773784</x:v>
      </x:c>
    </x:row>
    <x:row r="152">
      <x:c r="A152" t="str">
        <x:v>P151</x:v>
      </x:c>
      <x:c r="B152" s="24" t="n">
        <x:v>0.1010175653618055</x:v>
      </x:c>
      <x:c r="C152" s="24" t="n">
        <x:v>0.08480441140951883</x:v>
      </x:c>
      <x:c r="D152" s="26" t="n">
        <x:v>0.719509331503439</x:v>
      </x:c>
      <x:c r="E152" s="16" t="n">
        <x:v>0.1743863514334698</x:v>
      </x:c>
      <x:c r="F152" s="16" t="n">
        <x:v>0.3408196482206403</x:v>
      </x:c>
      <x:c r="G152" s="16" t="n">
        <x:v>0.017901589261621574</x:v>
      </x:c>
      <x:c r="H152" s="16" t="n">
        <x:v>0.21229963947193958</x:v>
      </x:c>
      <x:c r="I152" s="16" t="n">
        <x:v>0.14832062470770838</x:v>
      </x:c>
      <x:c r="J152" s="16" t="n">
        <x:v>0.10627214690462045</x:v>
      </x:c>
    </x:row>
    <x:row r="153">
      <x:c r="A153" t="str">
        <x:v>P152</x:v>
      </x:c>
      <x:c r="B153" s="24" t="n">
        <x:v>0.09056499110309701</x:v>
      </x:c>
      <x:c r="C153" s="24" t="n">
        <x:v>0.07047514071940367</x:v>
      </x:c>
      <x:c r="D153" s="26" t="n">
        <x:v>0.717486912220881</x:v>
      </x:c>
      <x:c r="E153" s="16" t="n">
        <x:v>0.13010006158418086</x:v>
      </x:c>
      <x:c r="F153" s="16" t="n">
        <x:v>0.2661601407855026</x:v>
      </x:c>
      <x:c r="G153" s="16" t="n">
        <x:v>0.10618161489733144</x:v>
      </x:c>
      <x:c r="H153" s="16" t="n">
        <x:v>0.2509086096065383</x:v>
      </x:c>
      <x:c r="I153" s="16" t="n">
        <x:v>0.14202989151552003</x:v>
      </x:c>
      <x:c r="J153" s="16" t="n">
        <x:v>0.10461968161092676</x:v>
      </x:c>
    </x:row>
    <x:row r="154">
      <x:c r="A154" t="str">
        <x:v>P153</x:v>
      </x:c>
      <x:c r="B154" s="24" t="n">
        <x:v>0.06291077661940636</x:v>
      </x:c>
      <x:c r="C154" s="24" t="n">
        <x:v>0.0510869006090218</x:v>
      </x:c>
      <x:c r="D154" s="26" t="n">
        <x:v>0.4484667565712605</x:v>
      </x:c>
      <x:c r="E154" s="16" t="n">
        <x:v>0.03978244134071843</x:v>
      </x:c>
      <x:c r="F154" s="16" t="n">
        <x:v>0.048807377479448764</x:v>
      </x:c>
      <x:c r="G154" s="16" t="n">
        <x:v>0.4757671057985453</x:v>
      </x:c>
      <x:c r="H154" s="16" t="n">
        <x:v>0.07340897436776458</x:v>
      </x:c>
      <x:c r="I154" s="16" t="n">
        <x:v>0.15883207222083323</x:v>
      </x:c>
      <x:c r="J154" s="16" t="n">
        <x:v>0.20340202879268957</x:v>
      </x:c>
    </x:row>
    <x:row r="155">
      <x:c r="A155" t="str">
        <x:v>P154</x:v>
      </x:c>
      <x:c r="B155" s="24" t="n">
        <x:v>0.07567457855719617</x:v>
      </x:c>
      <x:c r="C155" s="24" t="n">
        <x:v>0.0639030308256274</x:v>
      </x:c>
      <x:c r="D155" s="26" t="n">
        <x:v>0.5582611356031236</x:v>
      </x:c>
      <x:c r="E155" s="16" t="n">
        <x:v>0.042059483130530206</x:v>
      </x:c>
      <x:c r="F155" s="16" t="n">
        <x:v>0.12226982066227339</x:v>
      </x:c>
      <x:c r="G155" s="16" t="n">
        <x:v>0.13436887157978442</x:v>
      </x:c>
      <x:c r="H155" s="16" t="n">
        <x:v>0.25510807355383797</x:v>
      </x:c>
      <x:c r="I155" s="16" t="n">
        <x:v>0.08188730948074777</x:v>
      </x:c>
      <x:c r="J155" s="16" t="n">
        <x:v>0.36430644159282627</x:v>
      </x:c>
    </x:row>
    <x:row r="156">
      <x:c r="A156" t="str">
        <x:v>P155</x:v>
      </x:c>
      <x:c r="B156" s="24" t="n">
        <x:v>0.09766840589893411</x:v>
      </x:c>
      <x:c r="C156" s="24" t="n">
        <x:v>0.08477464833540706</x:v>
      </x:c>
      <x:c r="D156" s="26" t="n">
        <x:v>0.6802553243367248</x:v>
      </x:c>
      <x:c r="E156" s="16" t="n">
        <x:v>0.19004793867237085</x:v>
      </x:c>
      <x:c r="F156" s="16" t="n">
        <x:v>0.28148643056703376</x:v>
      </x:c>
      <x:c r="G156" s="16" t="n">
        <x:v>0.08182701603880244</x:v>
      </x:c>
      <x:c r="H156" s="16" t="n">
        <x:v>0.09841589440045899</x:v>
      </x:c>
      <x:c r="I156" s="16" t="n">
        <x:v>0.1859496567675419</x:v>
      </x:c>
      <x:c r="J156" s="16" t="n">
        <x:v>0.16227306355379198</x:v>
      </x:c>
    </x:row>
    <x:row r="157">
      <x:c r="A157" t="str">
        <x:v>P156</x:v>
      </x:c>
      <x:c r="B157" s="24" t="n">
        <x:v>0.07246922974347902</x:v>
      </x:c>
      <x:c r="C157" s="24" t="n">
        <x:v>0.06402955860267064</x:v>
      </x:c>
      <x:c r="D157" s="26" t="n">
        <x:v>0.5070975101509563</x:v>
      </x:c>
      <x:c r="E157" s="16" t="n">
        <x:v>0.12947312653021564</x:v>
      </x:c>
      <x:c r="F157" s="16" t="n">
        <x:v>0.055559633142701834</x:v>
      </x:c>
      <x:c r="G157" s="16" t="n">
        <x:v>0.19855953543914395</x:v>
      </x:c>
      <x:c r="H157" s="16" t="n">
        <x:v>0.14832511805111875</x:v>
      </x:c>
      <x:c r="I157" s="16" t="n">
        <x:v>0.15106220452258926</x:v>
      </x:c>
      <x:c r="J157" s="16" t="n">
        <x:v>0.3170203823142306</x:v>
      </x:c>
    </x:row>
    <x:row r="158">
      <x:c r="A158" t="str">
        <x:v>P157</x:v>
      </x:c>
      <x:c r="B158" s="24" t="n">
        <x:v>0.05823883234774341</x:v>
      </x:c>
      <x:c r="C158" s="24" t="n">
        <x:v>0.04499305767784487</x:v>
      </x:c>
      <x:c r="D158" s="26" t="n">
        <x:v>0.40536992347431483</x:v>
      </x:c>
      <x:c r="E158" s="16" t="n">
        <x:v>0.028742653407719476</x:v>
      </x:c>
      <x:c r="F158" s="16" t="n">
        <x:v>0.10396021996911149</x:v>
      </x:c>
      <x:c r="G158" s="16" t="n">
        <x:v>0.5198360745203234</x:v>
      </x:c>
      <x:c r="H158" s="16" t="n">
        <x:v>0.18846566707208764</x:v>
      </x:c>
      <x:c r="I158" s="16" t="n">
        <x:v>0.033959768708413836</x:v>
      </x:c>
      <x:c r="J158" s="16" t="n">
        <x:v>0.12503561632234414</x:v>
      </x:c>
    </x:row>
    <x:row r="159">
      <x:c r="A159" t="str">
        <x:v>P158</x:v>
      </x:c>
      <x:c r="B159" s="24" t="n">
        <x:v>0.10058282100247617</x:v>
      </x:c>
      <x:c r="C159" s="24" t="n">
        <x:v>0.0978482703534214</x:v>
      </x:c>
      <x:c r="D159" s="26" t="n">
        <x:v>0.61915065829631</x:v>
      </x:c>
      <x:c r="E159" s="16" t="n">
        <x:v>0.030473201536353536</x:v>
      </x:c>
      <x:c r="F159" s="16" t="n">
        <x:v>0.39877895744767694</x:v>
      </x:c>
      <x:c r="G159" s="16" t="n">
        <x:v>0.12523995156562504</x:v>
      </x:c>
      <x:c r="H159" s="16" t="n">
        <x:v>0.06793331915958924</x:v>
      </x:c>
      <x:c r="I159" s="16" t="n">
        <x:v>0.041470691210406384</x:v>
      </x:c>
      <x:c r="J159" s="16" t="n">
        <x:v>0.336103879080349</x:v>
      </x:c>
    </x:row>
    <x:row r="160">
      <x:c r="A160" t="str">
        <x:v>P159</x:v>
      </x:c>
      <x:c r="B160" s="24" t="n">
        <x:v>0.09320691503596912</x:v>
      </x:c>
      <x:c r="C160" s="24" t="n">
        <x:v>0.08031442104145937</x:v>
      </x:c>
      <x:c r="D160" s="26" t="n">
        <x:v>0.6624827066673742</x:v>
      </x:c>
      <x:c r="E160" s="16" t="n">
        <x:v>0.1634028830975917</x:v>
      </x:c>
      <x:c r="F160" s="16" t="n">
        <x:v>0.26309941014619864</x:v>
      </x:c>
      <x:c r="G160" s="16" t="n">
        <x:v>0.11350102625342536</x:v>
      </x:c>
      <x:c r="H160" s="16" t="n">
        <x:v>0.12333586547523871</x:v>
      </x:c>
      <x:c r="I160" s="16" t="n">
        <x:v>0.15281260284807383</x:v>
      </x:c>
      <x:c r="J160" s="16" t="n">
        <x:v>0.18384821217947173</x:v>
      </x:c>
    </x:row>
    <x:row r="161">
      <x:c r="A161" t="str">
        <x:v>P160</x:v>
      </x:c>
      <x:c r="B161" s="24" t="n">
        <x:v>0.07275028390591287</x:v>
      </x:c>
      <x:c r="C161" s="24" t="n">
        <x:v>0.052331865999877186</x:v>
      </x:c>
      <x:c r="D161" s="26" t="n">
        <x:v>0.6258191501520265</x:v>
      </x:c>
      <x:c r="E161" s="16" t="n">
        <x:v>0.15836725866547963</x:v>
      </x:c>
      <x:c r="F161" s="16" t="n">
        <x:v>0.07673904791141048</x:v>
      </x:c>
      <x:c r="G161" s="16" t="n">
        <x:v>0.17058475995959654</x:v>
      </x:c>
      <x:c r="H161" s="16" t="n">
        <x:v>0.28946682989741734</x:v>
      </x:c>
      <x:c r="I161" s="16" t="n">
        <x:v>0.17089097674452697</x:v>
      </x:c>
      <x:c r="J161" s="16" t="n">
        <x:v>0.13395112682156904</x:v>
      </x:c>
    </x:row>
    <x:row r="162">
      <x:c r="A162" t="str">
        <x:v>P161</x:v>
      </x:c>
      <x:c r="B162" s="24" t="n">
        <x:v>0.11214949961754916</x:v>
      </x:c>
      <x:c r="C162" s="24" t="n">
        <x:v>0.10899679619172808</x:v>
      </x:c>
      <x:c r="D162" s="26" t="n">
        <x:v>0.6619414711110994</x:v>
      </x:c>
      <x:c r="E162" s="16" t="n">
        <x:v>0.030945432903953272</x:v>
      </x:c>
      <x:c r="F162" s="16" t="n">
        <x:v>0.4203551912882514</x:v>
      </x:c>
      <x:c r="G162" s="16" t="n">
        <x:v>0.009114755810006363</x:v>
      </x:c>
      <x:c r="H162" s="16" t="n">
        <x:v>0.0030472378743611694</x:v>
      </x:c>
      <x:c r="I162" s="16" t="n">
        <x:v>0.1427597321110792</x:v>
      </x:c>
      <x:c r="J162" s="16" t="n">
        <x:v>0.39377765001234877</x:v>
      </x:c>
    </x:row>
    <x:row r="163">
      <x:c r="A163" t="str">
        <x:v>P162</x:v>
      </x:c>
      <x:c r="B163" s="24" t="n">
        <x:v>0.0889328013709263</x:v>
      </x:c>
      <x:c r="C163" s="24" t="n">
        <x:v>0.07255210313665268</x:v>
      </x:c>
      <x:c r="D163" s="26" t="n">
        <x:v>0.6744504880687032</x:v>
      </x:c>
      <x:c r="E163" s="16" t="n">
        <x:v>0.1011364415296695</x:v>
      </x:c>
      <x:c r="F163" s="16" t="n">
        <x:v>0.2672497523155316</x:v>
      </x:c>
      <x:c r="G163" s="16" t="n">
        <x:v>0.25437238882600083</x:v>
      </x:c>
      <x:c r="H163" s="16" t="n">
        <x:v>0.10250536392735432</x:v>
      </x:c>
      <x:c r="I163" s="16" t="n">
        <x:v>0.16445157003380892</x:v>
      </x:c>
      <x:c r="J163" s="16" t="n">
        <x:v>0.11028448336763494</x:v>
      </x:c>
    </x:row>
    <x:row r="164">
      <x:c r="A164" t="str">
        <x:v>P163</x:v>
      </x:c>
      <x:c r="B164" s="24" t="n">
        <x:v>0.08251552132820827</x:v>
      </x:c>
      <x:c r="C164" s="24" t="n">
        <x:v>0.0702991155749826</x:v>
      </x:c>
      <x:c r="D164" s="26" t="n">
        <x:v>0.6047803159466534</x:v>
      </x:c>
      <x:c r="E164" s="16" t="n">
        <x:v>0.20786659191495752</x:v>
      </x:c>
      <x:c r="F164" s="16" t="n">
        <x:v>0.16492640996927704</x:v>
      </x:c>
      <x:c r="G164" s="16" t="n">
        <x:v>0.16423733062219892</x:v>
      </x:c>
      <x:c r="H164" s="16" t="n">
        <x:v>0.14557951036923353</x:v>
      </x:c>
      <x:c r="I164" s="16" t="n">
        <x:v>0.14931755686527742</x:v>
      </x:c>
      <x:c r="J164" s="16" t="n">
        <x:v>0.16807260025905554</x:v>
      </x:c>
    </x:row>
    <x:row r="165">
      <x:c r="A165" t="str">
        <x:v>P164</x:v>
      </x:c>
      <x:c r="B165" s="24" t="n">
        <x:v>0.08503609180905669</x:v>
      </x:c>
      <x:c r="C165" s="24" t="n">
        <x:v>0.0773028950349366</x:v>
      </x:c>
      <x:c r="D165" s="26" t="n">
        <x:v>0.5825925638192837</x:v>
      </x:c>
      <x:c r="E165" s="16" t="n">
        <x:v>0.2637724979694252</x:v>
      </x:c>
      <x:c r="F165" s="16" t="n">
        <x:v>0.08901600928554607</x:v>
      </x:c>
      <x:c r="G165" s="16" t="n">
        <x:v>0.04997688518575357</x:v>
      </x:c>
      <x:c r="H165" s="16" t="n">
        <x:v>0.10079547494009955</x:v>
      </x:c>
      <x:c r="I165" s="16" t="n">
        <x:v>0.23722514388778745</x:v>
      </x:c>
      <x:c r="J165" s="16" t="n">
        <x:v>0.2592139887313882</x:v>
      </x:c>
    </x:row>
    <x:row r="166">
      <x:c r="A166" t="str">
        <x:v>P165</x:v>
      </x:c>
      <x:c r="B166" s="24" t="n">
        <x:v>0.08011746230877348</x:v>
      </x:c>
      <x:c r="C166" s="24" t="n">
        <x:v>0.05899229950168709</x:v>
      </x:c>
      <x:c r="D166" s="26" t="n">
        <x:v>0.6800457457608714</x:v>
      </x:c>
      <x:c r="E166" s="16" t="n">
        <x:v>0.10650268993360854</x:v>
      </x:c>
      <x:c r="F166" s="16" t="n">
        <x:v>0.14453405809609987</x:v>
      </x:c>
      <x:c r="G166" s="16" t="n">
        <x:v>0.20875057223001114</x:v>
      </x:c>
      <x:c r="H166" s="16" t="n">
        <x:v>0.20030756258182328</x:v>
      </x:c>
      <x:c r="I166" s="16" t="n">
        <x:v>0.2026250490811293</x:v>
      </x:c>
      <x:c r="J166" s="16" t="n">
        <x:v>0.13728006807732776</x:v>
      </x:c>
    </x:row>
    <x:row r="167">
      <x:c r="A167" t="str">
        <x:v>P166</x:v>
      </x:c>
      <x:c r="B167" s="24" t="n">
        <x:v>0.07611620401380592</x:v>
      </x:c>
      <x:c r="C167" s="24" t="n">
        <x:v>0.07181791094400347</x:v>
      </x:c>
      <x:c r="D167" s="26" t="n">
        <x:v>0.5028857500737633</x:v>
      </x:c>
      <x:c r="E167" s="16" t="n">
        <x:v>0.3484849101975947</x:v>
      </x:c>
      <x:c r="F167" s="16" t="n">
        <x:v>0.06973126848351076</x:v>
      </x:c>
      <x:c r="G167" s="16" t="n">
        <x:v>0.2773390666891077</x:v>
      </x:c>
      <x:c r="H167" s="16" t="n">
        <x:v>0.00821256549855886</x:v>
      </x:c>
      <x:c r="I167" s="16" t="n">
        <x:v>0.2407321824439253</x:v>
      </x:c>
      <x:c r="J167" s="16" t="n">
        <x:v>0.05550000668730272</x:v>
      </x:c>
    </x:row>
    <x:row r="168">
      <x:c r="A168" t="str">
        <x:v>P167</x:v>
      </x:c>
      <x:c r="B168" s="24" t="n">
        <x:v>0.08014078086713305</x:v>
      </x:c>
      <x:c r="C168" s="24" t="n">
        <x:v>0.07183925606515947</x:v>
      </x:c>
      <x:c r="D168" s="26" t="n">
        <x:v>0.5587583038265967</x:v>
      </x:c>
      <x:c r="E168" s="16" t="n">
        <x:v>0.2170312057171887</x:v>
      </x:c>
      <x:c r="F168" s="16" t="n">
        <x:v>0.20626837475344773</x:v>
      </x:c>
      <x:c r="G168" s="16" t="n">
        <x:v>0.14615510132291273</x:v>
      </x:c>
      <x:c r="H168" s="16" t="n">
        <x:v>0.22799095382845871</x:v>
      </x:c>
      <x:c r="I168" s="16" t="n">
        <x:v>0.03156862931770608</x:v>
      </x:c>
      <x:c r="J168" s="16" t="n">
        <x:v>0.17098573506028605</x:v>
      </x:c>
    </x:row>
    <x:row r="169">
      <x:c r="A169" t="str">
        <x:v>P168</x:v>
      </x:c>
      <x:c r="B169" s="24" t="n">
        <x:v>0.08325029523791261</x:v>
      </x:c>
      <x:c r="C169" s="24" t="n">
        <x:v>0.06020903405315109</x:v>
      </x:c>
      <x:c r="D169" s="26" t="n">
        <x:v>0.718335643779508</x:v>
      </x:c>
      <x:c r="E169" s="16" t="n">
        <x:v>0.09611585157393264</x:v>
      </x:c>
      <x:c r="F169" s="16" t="n">
        <x:v>0.16423708365923465</x:v>
      </x:c>
      <x:c r="G169" s="16" t="n">
        <x:v>0.17833756300563855</x:v>
      </x:c>
      <x:c r="H169" s="16" t="n">
        <x:v>0.216066047220367</x:v>
      </x:c>
      <x:c r="I169" s="16" t="n">
        <x:v>0.21984203403646338</x:v>
      </x:c>
      <x:c r="J169" s="16" t="n">
        <x:v>0.1254014205043638</x:v>
      </x:c>
    </x:row>
    <x:row r="170">
      <x:c r="A170" t="str">
        <x:v>P169</x:v>
      </x:c>
      <x:c r="B170" s="24" t="n">
        <x:v>0.08035863067313898</x:v>
      </x:c>
      <x:c r="C170" s="24" t="n">
        <x:v>0.0641688834083759</x:v>
      </x:c>
      <x:c r="D170" s="26" t="n">
        <x:v>0.6289439449381319</x:v>
      </x:c>
      <x:c r="E170" s="16" t="n">
        <x:v>0.2535235429171658</x:v>
      </x:c>
      <x:c r="F170" s="16" t="n">
        <x:v>0.11783162593984238</x:v>
      </x:c>
      <x:c r="G170" s="16" t="n">
        <x:v>0.20019185565570288</x:v>
      </x:c>
      <x:c r="H170" s="16" t="n">
        <x:v>0.14672621537526317</x:v>
      </x:c>
      <x:c r="I170" s="16" t="n">
        <x:v>0.23886380282976452</x:v>
      </x:c>
      <x:c r="J170" s="16" t="n">
        <x:v>0.042862957282261346</x:v>
      </x:c>
    </x:row>
    <x:row r="171">
      <x:c r="A171" t="str">
        <x:v>P170</x:v>
      </x:c>
      <x:c r="B171" s="24" t="n">
        <x:v>0.0886283577155762</x:v>
      </x:c>
      <x:c r="C171" s="24" t="n">
        <x:v>0.08002162686274526</x:v>
      </x:c>
      <x:c r="D171" s="26" t="n">
        <x:v>0.6076901910402867</x:v>
      </x:c>
      <x:c r="E171" s="16" t="n">
        <x:v>0.19150381364842517</x:v>
      </x:c>
      <x:c r="F171" s="16" t="n">
        <x:v>0.21425327293119803</x:v>
      </x:c>
      <x:c r="G171" s="16" t="n">
        <x:v>0.18186696887399195</x:v>
      </x:c>
      <x:c r="H171" s="16" t="n">
        <x:v>0.041239606658234756</x:v>
      </x:c>
      <x:c r="I171" s="16" t="n">
        <x:v>0.16221799193188813</x:v>
      </x:c>
      <x:c r="J171" s="16" t="n">
        <x:v>0.2089183459562619</x:v>
      </x:c>
    </x:row>
    <x:row r="172">
      <x:c r="A172" t="str">
        <x:v>P171</x:v>
      </x:c>
      <x:c r="B172" s="24" t="n">
        <x:v>0.11117617491927234</x:v>
      </x:c>
      <x:c r="C172" s="24" t="n">
        <x:v>0.09227808652993376</x:v>
      </x:c>
      <x:c r="D172" s="26" t="n">
        <x:v>0.7713226140226016</x:v>
      </x:c>
      <x:c r="E172" s="16" t="n">
        <x:v>0.0762372027872641</x:v>
      </x:c>
      <x:c r="F172" s="16" t="n">
        <x:v>0.4259524740625585</x:v>
      </x:c>
      <x:c r="G172" s="16" t="n">
        <x:v>0.1358248572639644</x:v>
      </x:c>
      <x:c r="H172" s="16" t="n">
        <x:v>0.07372869796150797</x:v>
      </x:c>
      <x:c r="I172" s="16" t="n">
        <x:v>0.277645626838996</x:v>
      </x:c>
      <x:c r="J172" s="16" t="n">
        <x:v>0.010611141085709085</x:v>
      </x:c>
    </x:row>
    <x:row r="173">
      <x:c r="A173" t="str">
        <x:v>P172</x:v>
      </x:c>
      <x:c r="B173" s="24" t="n">
        <x:v>0.07616497023485591</x:v>
      </x:c>
      <x:c r="C173" s="24" t="n">
        <x:v>0.06211830335480549</x:v>
      </x:c>
      <x:c r="D173" s="26" t="n">
        <x:v>0.582195074264825</x:v>
      </x:c>
      <x:c r="E173" s="16" t="n">
        <x:v>0.2160171840348743</x:v>
      </x:c>
      <x:c r="F173" s="16" t="n">
        <x:v>0.15428591111314208</x:v>
      </x:c>
      <x:c r="G173" s="16" t="n">
        <x:v>0.3422278051840323</x:v>
      </x:c>
      <x:c r="H173" s="16" t="n">
        <x:v>0.10519877230373822</x:v>
      </x:c>
      <x:c r="I173" s="16" t="n">
        <x:v>0.17456311753563591</x:v>
      </x:c>
      <x:c r="J173" s="16" t="n">
        <x:v>0.007707209828577199</x:v>
      </x:c>
    </x:row>
    <x:row r="174">
      <x:c r="A174" t="str">
        <x:v>P173</x:v>
      </x:c>
      <x:c r="B174" s="24" t="n">
        <x:v>0.09713735083189934</x:v>
      </x:c>
      <x:c r="C174" s="24" t="n">
        <x:v>0.07846501543999712</x:v>
      </x:c>
      <x:c r="D174" s="26" t="n">
        <x:v>0.728188868777994</x:v>
      </x:c>
      <x:c r="E174" s="16" t="n">
        <x:v>0.15838585373263359</x:v>
      </x:c>
      <x:c r="F174" s="16" t="n">
        <x:v>0.23219805614379735</x:v>
      </x:c>
      <x:c r="G174" s="16" t="n">
        <x:v>0.06368358935474377</x:v>
      </x:c>
      <x:c r="H174" s="16" t="n">
        <x:v>0.12431416385120662</x:v>
      </x:c>
      <x:c r="I174" s="16" t="n">
        <x:v>0.26877342335416843</x:v>
      </x:c>
      <x:c r="J174" s="16" t="n">
        <x:v>0.1526449135634503</x:v>
      </x:c>
    </x:row>
    <x:row r="175">
      <x:c r="A175" t="str">
        <x:v>P174</x:v>
      </x:c>
      <x:c r="B175" s="24" t="n">
        <x:v>0.07926774326746466</x:v>
      </x:c>
      <x:c r="C175" s="24" t="n">
        <x:v>0.05202152939378314</x:v>
      </x:c>
      <x:c r="D175" s="26" t="n">
        <x:v>0.7548363864934231</x:v>
      </x:c>
      <x:c r="E175" s="16" t="n">
        <x:v>0.12785123449708255</x:v>
      </x:c>
      <x:c r="F175" s="16" t="n">
        <x:v>0.07637364499107197</x:v>
      </x:c>
      <x:c r="G175" s="16" t="n">
        <x:v>0.009193281060185948</x:v>
      </x:c>
      <x:c r="H175" s="16" t="n">
        <x:v>0.3994564110976769</x:v>
      </x:c>
      <x:c r="I175" s="16" t="n">
        <x:v>0.23759597661782464</x:v>
      </x:c>
      <x:c r="J175" s="16" t="n">
        <x:v>0.14952945173615803</x:v>
      </x:c>
    </x:row>
    <x:row r="176">
      <x:c r="A176" t="str">
        <x:v>P175</x:v>
      </x:c>
      <x:c r="B176" s="24" t="n">
        <x:v>0.08329555975277336</x:v>
      </x:c>
      <x:c r="C176" s="24" t="n">
        <x:v>0.07089584637962329</x:v>
      </x:c>
      <x:c r="D176" s="26" t="n">
        <x:v>0.6106924730250102</x:v>
      </x:c>
      <x:c r="E176" s="16" t="n">
        <x:v>0.02591101949880199</x:v>
      </x:c>
      <x:c r="F176" s="16" t="n">
        <x:v>0.211309482040963</x:v>
      </x:c>
      <x:c r="G176" s="16" t="n">
        <x:v>0.25635755255397075</x:v>
      </x:c>
      <x:c r="H176" s="16" t="n">
        <x:v>0.09710009849158854</x:v>
      </x:c>
      <x:c r="I176" s="16" t="n">
        <x:v>0.1268563178393648</x:v>
      </x:c>
      <x:c r="J176" s="16" t="n">
        <x:v>0.28246552957531096</x:v>
      </x:c>
    </x:row>
    <x:row r="177">
      <x:c r="A177" t="str">
        <x:v>P176</x:v>
      </x:c>
      <x:c r="B177" s="24" t="n">
        <x:v>0.07907001248561563</x:v>
      </x:c>
      <x:c r="C177" s="24" t="n">
        <x:v>0.06635140858708234</x:v>
      </x:c>
      <x:c r="D177" s="26" t="n">
        <x:v>0.588834710785959</x:v>
      </x:c>
      <x:c r="E177" s="16" t="n">
        <x:v>0.09397279832078266</x:v>
      </x:c>
      <x:c r="F177" s="16" t="n">
        <x:v>0.12949086396777978</x:v>
      </x:c>
      <x:c r="G177" s="16" t="n">
        <x:v>0.13747737358353126</x:v>
      </x:c>
      <x:c r="H177" s="16" t="n">
        <x:v>0.19993873353088037</x:v>
      </x:c>
      <x:c r="I177" s="16" t="n">
        <x:v>0.12902735165517842</x:v>
      </x:c>
      <x:c r="J177" s="16" t="n">
        <x:v>0.3100928789418475</x:v>
      </x:c>
    </x:row>
    <x:row r="178">
      <x:c r="A178" t="str">
        <x:v>P177</x:v>
      </x:c>
      <x:c r="B178" s="24" t="n">
        <x:v>0.08193012673981581</x:v>
      </x:c>
      <x:c r="C178" s="24" t="n">
        <x:v>0.06216551656495802</x:v>
      </x:c>
      <x:c r="D178" s="26" t="n">
        <x:v>0.6744917288027706</x:v>
      </x:c>
      <x:c r="E178" s="16" t="n">
        <x:v>0.24768192554445248</x:v>
      </x:c>
      <x:c r="F178" s="16" t="n">
        <x:v>0.0885985941016907</x:v>
      </x:c>
      <x:c r="G178" s="16" t="n">
        <x:v>0.02647864294866592</x:v>
      </x:c>
      <x:c r="H178" s="16" t="n">
        <x:v>0.284779612026888</x:v>
      </x:c>
      <x:c r="I178" s="16" t="n">
        <x:v>0.2386498940786209</x:v>
      </x:c>
      <x:c r="J178" s="16" t="n">
        <x:v>0.11381133129968198</x:v>
      </x:c>
    </x:row>
    <x:row r="179">
      <x:c r="A179" t="str">
        <x:v>P178</x:v>
      </x:c>
      <x:c r="B179" s="24" t="n">
        <x:v>0.07505052645375332</x:v>
      </x:c>
      <x:c r="C179" s="24" t="n">
        <x:v>0.06159202277273787</x:v>
      </x:c>
      <x:c r="D179" s="26" t="n">
        <x:v>0.5690757483819404</x:v>
      </x:c>
      <x:c r="E179" s="16" t="n">
        <x:v>0.21635727551332032</x:v>
      </x:c>
      <x:c r="F179" s="16" t="n">
        <x:v>0.058047972727413424</x:v>
      </x:c>
      <x:c r="G179" s="16" t="n">
        <x:v>0.11297982138047725</x:v>
      </x:c>
      <x:c r="H179" s="16" t="n">
        <x:v>0.23116821841124055</x:v>
      </x:c>
      <x:c r="I179" s="16" t="n">
        <x:v>0.17914615218509028</x:v>
      </x:c>
      <x:c r="J179" s="16" t="n">
        <x:v>0.20230055978245823</x:v>
      </x:c>
    </x:row>
    <x:row r="180">
      <x:c r="A180" t="str">
        <x:v>P179</x:v>
      </x:c>
      <x:c r="B180" s="24" t="n">
        <x:v>0.08443487776465486</x:v>
      </x:c>
      <x:c r="C180" s="24" t="n">
        <x:v>0.0609281319033168</x:v>
      </x:c>
      <x:c r="D180" s="26" t="n">
        <x:v>0.7292998550352061</x:v>
      </x:c>
      <x:c r="E180" s="16" t="n">
        <x:v>0.16368555508368826</x:v>
      </x:c>
      <x:c r="F180" s="16" t="n">
        <x:v>0.1266594449129868</x:v>
      </x:c>
      <x:c r="G180" s="16" t="n">
        <x:v>0.14217882403009324</x:v>
      </x:c>
      <x:c r="H180" s="16" t="n">
        <x:v>0.20582399502650645</x:v>
      </x:c>
      <x:c r="I180" s="16" t="n">
        <x:v>0.2945077836281001</x:v>
      </x:c>
      <x:c r="J180" s="16" t="n">
        <x:v>0.0671443973186251</x:v>
      </x:c>
    </x:row>
    <x:row r="181">
      <x:c r="A181" t="str">
        <x:v>P180</x:v>
      </x:c>
      <x:c r="B181" s="24" t="n">
        <x:v>0.08235587110642628</x:v>
      </x:c>
      <x:c r="C181" s="24" t="n">
        <x:v>0.07187825514897771</x:v>
      </x:c>
      <x:c r="D181" s="26" t="n">
        <x:v>0.5892723886888717</x:v>
      </x:c>
      <x:c r="E181" s="16" t="n">
        <x:v>0.2521508249197244</x:v>
      </x:c>
      <x:c r="F181" s="16" t="n">
        <x:v>0.08372066522141995</x:v>
      </x:c>
      <x:c r="G181" s="16" t="n">
        <x:v>0.13955271066029962</x:v>
      </x:c>
      <x:c r="H181" s="16" t="n">
        <x:v>0.07990756727966065</x:v>
      </x:c>
      <x:c r="I181" s="16" t="n">
        <x:v>0.25922071121941526</x:v>
      </x:c>
      <x:c r="J181" s="16" t="n">
        <x:v>0.1854475206994802</x:v>
      </x:c>
    </x:row>
    <x:row r="182">
      <x:c r="A182" t="str">
        <x:v>P181</x:v>
      </x:c>
      <x:c r="B182" s="24" t="n">
        <x:v>0.0886118078279805</x:v>
      </x:c>
      <x:c r="C182" s="24" t="n">
        <x:v>0.07124091421991019</x:v>
      </x:c>
      <x:c r="D182" s="26" t="n">
        <x:v>0.6823580011610045</x:v>
      </x:c>
      <x:c r="E182" s="16" t="n">
        <x:v>0.10176027347563427</x:v>
      </x:c>
      <x:c r="F182" s="16" t="n">
        <x:v>0.26056609939450587</x:v>
      </x:c>
      <x:c r="G182" s="16" t="n">
        <x:v>0.18704394069077385</x:v>
      </x:c>
      <x:c r="H182" s="16" t="n">
        <x:v>0.17286715680127274</x:v>
      </x:c>
      <x:c r="I182" s="16" t="n">
        <x:v>0.13966296817108115</x:v>
      </x:c>
      <x:c r="J182" s="16" t="n">
        <x:v>0.138099561466732</x:v>
      </x:c>
    </x:row>
    <x:row r="183">
      <x:c r="A183" t="str">
        <x:v>P182</x:v>
      </x:c>
      <x:c r="B183" s="24" t="n">
        <x:v>0.0766907911391308</x:v>
      </x:c>
      <x:c r="C183" s="24" t="n">
        <x:v>0.06535644508078953</x:v>
      </x:c>
      <x:c r="D183" s="26" t="n">
        <x:v>0.5613951476977664</x:v>
      </x:c>
      <x:c r="E183" s="16" t="n">
        <x:v>0.33029969655345287</x:v>
      </x:c>
      <x:c r="F183" s="16" t="n">
        <x:v>0.09027646770768875</x:v>
      </x:c>
      <x:c r="G183" s="16" t="n">
        <x:v>0.060931696157964156</x:v>
      </x:c>
      <x:c r="H183" s="16" t="n">
        <x:v>0.28141298062720277</x:v>
      </x:c>
      <x:c r="I183" s="16" t="n">
        <x:v>0.1393562487540123</x:v>
      </x:c>
      <x:c r="J183" s="16" t="n">
        <x:v>0.09772291019967921</x:v>
      </x:c>
    </x:row>
    <x:row r="184">
      <x:c r="A184" t="str">
        <x:v>P183</x:v>
      </x:c>
      <x:c r="B184" s="24" t="n">
        <x:v>0.0758058319385273</x:v>
      </x:c>
      <x:c r="C184" s="24" t="n">
        <x:v>0.05147624790888228</x:v>
      </x:c>
      <x:c r="D184" s="26" t="n">
        <x:v>0.6955796778721506</x:v>
      </x:c>
      <x:c r="E184" s="16" t="n">
        <x:v>0.08261362990655449</x:v>
      </x:c>
      <x:c r="F184" s="16" t="n">
        <x:v>0.03378996796408225</x:v>
      </x:c>
      <x:c r="G184" s="16" t="n">
        <x:v>0.1636491597270941</x:v>
      </x:c>
      <x:c r="H184" s="16" t="n">
        <x:v>0.26672262041467054</x:v>
      </x:c>
      <x:c r="I184" s="16" t="n">
        <x:v>0.32582375882447623</x:v>
      </x:c>
      <x:c r="J184" s="16" t="n">
        <x:v>0.12740086316312232</x:v>
      </x:c>
    </x:row>
    <x:row r="185">
      <x:c r="A185" t="str">
        <x:v>P184</x:v>
      </x:c>
      <x:c r="B185" s="24" t="n">
        <x:v>0.07678599434383249</x:v>
      </x:c>
      <x:c r="C185" s="24" t="n">
        <x:v>0.07299643463683834</x:v>
      </x:c>
      <x:c r="D185" s="26" t="n">
        <x:v>0.5039423435794504</x:v>
      </x:c>
      <x:c r="E185" s="16" t="n">
        <x:v>0.03627436986290283</x:v>
      </x:c>
      <x:c r="F185" s="16" t="n">
        <x:v>0.13886325321943355</x:v>
      </x:c>
      <x:c r="G185" s="16" t="n">
        <x:v>0.07879806986527724</x:v>
      </x:c>
      <x:c r="H185" s="16" t="n">
        <x:v>0.2543390754385386</x:v>
      </x:c>
      <x:c r="I185" s="16" t="n">
        <x:v>0.019644587832252047</x:v>
      </x:c>
      <x:c r="J185" s="16" t="n">
        <x:v>0.47208064378159575</x:v>
      </x:c>
    </x:row>
    <x:row r="186">
      <x:c r="A186" t="str">
        <x:v>P185</x:v>
      </x:c>
      <x:c r="B186" s="24" t="n">
        <x:v>0.0781974998995183</x:v>
      </x:c>
      <x:c r="C186" s="24" t="n">
        <x:v>0.06087277116946412</x:v>
      </x:c>
      <x:c r="D186" s="26" t="n">
        <x:v>0.6274973057030707</x:v>
      </x:c>
      <x:c r="E186" s="16" t="n">
        <x:v>0.15947130926960718</x:v>
      </x:c>
      <x:c r="F186" s="16" t="n">
        <x:v>0.21801656965134186</x:v>
      </x:c>
      <x:c r="G186" s="16" t="n">
        <x:v>0.25673986070933413</x:v>
      </x:c>
      <x:c r="H186" s="16" t="n">
        <x:v>0.24956422349812968</x:v>
      </x:c>
      <x:c r="I186" s="16" t="n">
        <x:v>0.08253712792195093</x:v>
      </x:c>
      <x:c r="J186" s="16" t="n">
        <x:v>0.03367090894963615</x:v>
      </x:c>
    </x:row>
    <x:row r="187">
      <x:c r="A187" t="str">
        <x:v>P186</x:v>
      </x:c>
      <x:c r="B187" s="24" t="n">
        <x:v>0.0829529022230222</x:v>
      </x:c>
      <x:c r="C187" s="24" t="n">
        <x:v>0.0681720838542979</x:v>
      </x:c>
      <x:c r="D187" s="26" t="n">
        <x:v>0.6300658538592442</x:v>
      </x:c>
      <x:c r="E187" s="16" t="n">
        <x:v>0.10119954953961939</x:v>
      </x:c>
      <x:c r="F187" s="16" t="n">
        <x:v>0.2354259928935595</x:v>
      </x:c>
      <x:c r="G187" s="16" t="n">
        <x:v>0.23932062644869456</x:v>
      </x:c>
      <x:c r="H187" s="16" t="n">
        <x:v>0.1684570426195925</x:v>
      </x:c>
      <x:c r="I187" s="16" t="n">
        <x:v>0.09665361006236509</x:v>
      </x:c>
      <x:c r="J187" s="16" t="n">
        <x:v>0.15894317843616898</x:v>
      </x:c>
    </x:row>
    <x:row r="188">
      <x:c r="A188" t="str">
        <x:v>P187</x:v>
      </x:c>
      <x:c r="B188" s="24" t="n">
        <x:v>0.09527280402160221</x:v>
      </x:c>
      <x:c r="C188" s="24" t="n">
        <x:v>0.08301337472634973</x:v>
      </x:c>
      <x:c r="D188" s="26" t="n">
        <x:v>0.6658301051343448</x:v>
      </x:c>
      <x:c r="E188" s="16" t="n">
        <x:v>0.12892075225402924</x:v>
      </x:c>
      <x:c r="F188" s="16" t="n">
        <x:v>0.059244239903640535</x:v>
      </x:c>
      <x:c r="G188" s="16" t="n">
        <x:v>0.012009665172450572</x:v>
      </x:c>
      <x:c r="H188" s="16" t="n">
        <x:v>0.016979778005355363</x:v>
      </x:c>
      <x:c r="I188" s="16" t="n">
        <x:v>0.48199271850460756</x:v>
      </x:c>
      <x:c r="J188" s="16" t="n">
        <x:v>0.30085284615991675</x:v>
      </x:c>
    </x:row>
    <x:row r="189">
      <x:c r="A189" t="str">
        <x:v>P188</x:v>
      </x:c>
      <x:c r="B189" s="24" t="n">
        <x:v>0.09504537621935727</x:v>
      </x:c>
      <x:c r="C189" s="24" t="n">
        <x:v>0.07961965798493727</x:v>
      </x:c>
      <x:c r="D189" s="26" t="n">
        <x:v>0.6913540903399881</x:v>
      </x:c>
      <x:c r="E189" s="16" t="n">
        <x:v>0.12834257755026798</x:v>
      </x:c>
      <x:c r="F189" s="16" t="n">
        <x:v>0.26554676123647053</x:v>
      </x:c>
      <x:c r="G189" s="16" t="n">
        <x:v>0.18961223816595218</x:v>
      </x:c>
      <x:c r="H189" s="16" t="n">
        <x:v>0.04524569586243212</x:v>
      </x:c>
      <x:c r="I189" s="16" t="n">
        <x:v>0.2281743554448295</x:v>
      </x:c>
      <x:c r="J189" s="16" t="n">
        <x:v>0.1430783717400476</x:v>
      </x:c>
    </x:row>
    <x:row r="190">
      <x:c r="A190" t="str">
        <x:v>P189</x:v>
      </x:c>
      <x:c r="B190" s="24" t="n">
        <x:v>0.09465104988019668</x:v>
      </x:c>
      <x:c r="C190" s="24" t="n">
        <x:v>0.07919178099406934</x:v>
      </x:c>
      <x:c r="D190" s="26" t="n">
        <x:v>0.6901101249925101</x:v>
      </x:c>
      <x:c r="E190" s="16" t="n">
        <x:v>0.21725652096297687</x:v>
      </x:c>
      <x:c r="F190" s="16" t="n">
        <x:v>0.3369903820233765</x:v>
      </x:c>
      <x:c r="G190" s="16" t="n">
        <x:v>0.017766244863887806</x:v>
      </x:c>
      <x:c r="H190" s="16" t="n">
        <x:v>0.32813608862986454</x:v>
      </x:c>
      <x:c r="I190" s="16" t="n">
        <x:v>0.06374269388741775</x:v>
      </x:c>
      <x:c r="J190" s="16" t="n">
        <x:v>0.03610806963247652</x:v>
      </x:c>
    </x:row>
    <x:row r="191">
      <x:c r="A191" t="str">
        <x:v>P190</x:v>
      </x:c>
      <x:c r="B191" s="24" t="n">
        <x:v>0.10127161136907126</x:v>
      </x:c>
      <x:c r="C191" s="24" t="n">
        <x:v>0.0873551168047044</x:v>
      </x:c>
      <x:c r="D191" s="26" t="n">
        <x:v>0.701408384651963</x:v>
      </x:c>
      <x:c r="E191" s="16" t="n">
        <x:v>0.11435626307070432</x:v>
      </x:c>
      <x:c r="F191" s="16" t="n">
        <x:v>0.27934967957286333</x:v>
      </x:c>
      <x:c r="G191" s="16" t="n">
        <x:v>0.10859539683360732</x:v>
      </x:c>
      <x:c r="H191" s="16" t="n">
        <x:v>0.017661825772796385</x:v>
      </x:c>
      <x:c r="I191" s="16" t="n">
        <x:v>0.2605879241938685</x:v>
      </x:c>
      <x:c r="J191" s="16" t="n">
        <x:v>0.21944891055615992</x:v>
      </x:c>
    </x:row>
    <x:row r="192">
      <x:c r="A192" t="str">
        <x:v>P191</x:v>
      </x:c>
      <x:c r="B192" s="24" t="n">
        <x:v>0.085158583361993</x:v>
      </x:c>
      <x:c r="C192" s="24" t="n">
        <x:v>0.07036428798193389</x:v>
      </x:c>
      <x:c r="D192" s="26" t="n">
        <x:v>0.6417827090581448</x:v>
      </x:c>
      <x:c r="E192" s="16" t="n">
        <x:v>0.1835807485040424</x:v>
      </x:c>
      <x:c r="F192" s="16" t="n">
        <x:v>0.18589575526009833</x:v>
      </x:c>
      <x:c r="G192" s="16" t="n">
        <x:v>0.23193533993981721</x:v>
      </x:c>
      <x:c r="H192" s="16" t="n">
        <x:v>0.08079899839581578</x:v>
      </x:c>
      <x:c r="I192" s="16" t="n">
        <x:v>0.20660748720399974</x:v>
      </x:c>
      <x:c r="J192" s="16" t="n">
        <x:v>0.1111816706962266</x:v>
      </x:c>
    </x:row>
    <x:row r="193">
      <x:c r="A193" t="str">
        <x:v>P192</x:v>
      </x:c>
      <x:c r="B193" s="24" t="n">
        <x:v>0.06031382747127667</x:v>
      </x:c>
      <x:c r="C193" s="24" t="n">
        <x:v>0.04477073102668673</x:v>
      </x:c>
      <x:c r="D193" s="26" t="n">
        <x:v>0.4537300822532493</x:v>
      </x:c>
      <x:c r="E193" s="16" t="n">
        <x:v>0.19441236983914778</x:v>
      </x:c>
      <x:c r="F193" s="16" t="n">
        <x:v>0.01579484074726406</x:v>
      </x:c>
      <x:c r="G193" s="16" t="n">
        <x:v>0.35289376990836824</x:v>
      </x:c>
      <x:c r="H193" s="16" t="n">
        <x:v>0.2535784037446728</x:v>
      </x:c>
      <x:c r="I193" s="16" t="n">
        <x:v>0.15508347241603118</x:v>
      </x:c>
      <x:c r="J193" s="16" t="n">
        <x:v>0.028237143344515905</x:v>
      </x:c>
    </x:row>
    <x:row r="194">
      <x:c r="A194" t="str">
        <x:v>P193</x:v>
      </x:c>
      <x:c r="B194" s="24" t="n">
        <x:v>0.07322809093662475</x:v>
      </x:c>
      <x:c r="C194" s="24" t="n">
        <x:v>0.050133920644236225</x:v>
      </x:c>
      <x:c r="D194" s="26" t="n">
        <x:v>0.6627866025563851</x:v>
      </x:c>
      <x:c r="E194" s="16" t="n">
        <x:v>0.09379276574238334</x:v>
      </x:c>
      <x:c r="F194" s="16" t="n">
        <x:v>0.13007361842429896</x:v>
      </x:c>
      <x:c r="G194" s="16" t="n">
        <x:v>0.23409309780117069</x:v>
      </x:c>
      <x:c r="H194" s="16" t="n">
        <x:v>0.2959971049027747</x:v>
      </x:c>
      <x:c r="I194" s="16" t="n">
        <x:v>0.1363962579867414</x:v>
      </x:c>
      <x:c r="J194" s="16" t="n">
        <x:v>0.10964715514263092</x:v>
      </x:c>
    </x:row>
    <x:row r="195">
      <x:c r="A195" t="str">
        <x:v>P194</x:v>
      </x:c>
      <x:c r="B195" s="24" t="n">
        <x:v>0.09707578105444203</x:v>
      </x:c>
      <x:c r="C195" s="24" t="n">
        <x:v>0.07069168182777857</x:v>
      </x:c>
      <x:c r="D195" s="26" t="n">
        <x:v>0.8073903404008967</x:v>
      </x:c>
      <x:c r="E195" s="16" t="n">
        <x:v>0.0167433662601613</x:v>
      </x:c>
      <x:c r="F195" s="16" t="n">
        <x:v>0.2895537461680618</x:v>
      </x:c>
      <x:c r="G195" s="16" t="n">
        <x:v>0.07242906645491536</x:v>
      </x:c>
      <x:c r="H195" s="16" t="n">
        <x:v>0.271407700772947</x:v>
      </x:c>
      <x:c r="I195" s="16" t="n">
        <x:v>0.23437149720343978</x:v>
      </x:c>
      <x:c r="J195" s="16" t="n">
        <x:v>0.11549462314047469</x:v>
      </x:c>
    </x:row>
    <x:row r="196">
      <x:c r="A196" t="str">
        <x:v>P195</x:v>
      </x:c>
      <x:c r="B196" s="24" t="n">
        <x:v>0.08070550187855297</x:v>
      </x:c>
      <x:c r="C196" s="24" t="n">
        <x:v>0.05859717597094441</x:v>
      </x:c>
      <x:c r="D196" s="26" t="n">
        <x:v>0.694666614970266</x:v>
      </x:c>
      <x:c r="E196" s="16" t="n">
        <x:v>0.0758708582179034</x:v>
      </x:c>
      <x:c r="F196" s="16" t="n">
        <x:v>0.042854428991161465</x:v>
      </x:c>
      <x:c r="G196" s="16" t="n">
        <x:v>0.06795932933247589</x:v>
      </x:c>
      <x:c r="H196" s="16" t="n">
        <x:v>0.2630199073115451</x:v>
      </x:c>
      <x:c r="I196" s="16" t="n">
        <x:v>0.32860226839624646</x:v>
      </x:c>
      <x:c r="J196" s="16" t="n">
        <x:v>0.22169320775066778</x:v>
      </x:c>
    </x:row>
    <x:row r="197">
      <x:c r="A197" t="str">
        <x:v>P196</x:v>
      </x:c>
      <x:c r="B197" s="24" t="n">
        <x:v>0.08459420467792333</x:v>
      </x:c>
      <x:c r="C197" s="24" t="n">
        <x:v>0.06508865698389969</x:v>
      </x:c>
      <x:c r="D197" s="26" t="n">
        <x:v>0.6851302015488526</x:v>
      </x:c>
      <x:c r="E197" s="16" t="n">
        <x:v>0.06716292772075132</x:v>
      </x:c>
      <x:c r="F197" s="16" t="n">
        <x:v>0.2109037831658566</x:v>
      </x:c>
      <x:c r="G197" s="16" t="n">
        <x:v>0.16493318362720719</x:v>
      </x:c>
      <x:c r="H197" s="16" t="n">
        <x:v>0.22377049555899292</x:v>
      </x:c>
      <x:c r="I197" s="16" t="n">
        <x:v>0.14258349264721798</x:v>
      </x:c>
      <x:c r="J197" s="16" t="n">
        <x:v>0.190646117279974</x:v>
      </x:c>
    </x:row>
    <x:row r="198">
      <x:c r="A198" t="str">
        <x:v>P197</x:v>
      </x:c>
      <x:c r="B198" s="24" t="n">
        <x:v>0.07924958637207524</x:v>
      </x:c>
      <x:c r="C198" s="24" t="n">
        <x:v>0.0466832386273032</x:v>
      </x:c>
      <x:c r="D198" s="26" t="n">
        <x:v>0.8407639985182968</x:v>
      </x:c>
      <x:c r="E198" s="16" t="n">
        <x:v>0.09477225489052195</x:v>
      </x:c>
      <x:c r="F198" s="16" t="n">
        <x:v>0.09555953314863173</x:v>
      </x:c>
      <x:c r="G198" s="16" t="n">
        <x:v>0.042620363720167226</x:v>
      </x:c>
      <x:c r="H198" s="16" t="n">
        <x:v>0.44190584105845576</x:v>
      </x:c>
      <x:c r="I198" s="16" t="n">
        <x:v>0.25900690382607394</x:v>
      </x:c>
      <x:c r="J198" s="16" t="n">
        <x:v>0.0661351033561494</x:v>
      </x:c>
    </x:row>
    <x:row r="199">
      <x:c r="A199" t="str">
        <x:v>P198</x:v>
      </x:c>
      <x:c r="B199" s="24" t="n">
        <x:v>0.08719550505811147</x:v>
      </x:c>
      <x:c r="C199" s="24" t="n">
        <x:v>0.09783129874027556</x:v>
      </x:c>
      <x:c r="D199" s="26" t="n">
        <x:v>0.4824172393275389</x:v>
      </x:c>
      <x:c r="E199" s="16" t="n">
        <x:v>0.39827089252831527</x:v>
      </x:c>
      <x:c r="F199" s="16" t="n">
        <x:v>0.21458144478290744</x:v>
      </x:c>
      <x:c r="G199" s="16" t="n">
        <x:v>0.07567902892588792</x:v>
      </x:c>
      <x:c r="H199" s="16" t="n">
        <x:v>0.02848975245793161</x:v>
      </x:c>
      <x:c r="I199" s="16" t="n">
        <x:v>0.036369292735131994</x:v>
      </x:c>
      <x:c r="J199" s="16" t="n">
        <x:v>0.24660958856982582</x:v>
      </x:c>
    </x:row>
    <x:row r="200">
      <x:c r="A200" t="str">
        <x:v>P199</x:v>
      </x:c>
      <x:c r="B200" s="24" t="n">
        <x:v>0.08404721127196257</x:v>
      </x:c>
      <x:c r="C200" s="24" t="n">
        <x:v>0.07095312359381743</x:v>
      </x:c>
      <x:c r="D200" s="26" t="n">
        <x:v>0.6207931242621244</x:v>
      </x:c>
      <x:c r="E200" s="16" t="n">
        <x:v>0.10120457308845218</x:v>
      </x:c>
      <x:c r="F200" s="16" t="n">
        <x:v>0.22958349597361563</x:v>
      </x:c>
      <x:c r="G200" s="16" t="n">
        <x:v>0.2123900877079097</x:v>
      </x:c>
      <x:c r="H200" s="16" t="n">
        <x:v>0.15176886912158255</x:v>
      </x:c>
      <x:c r="I200" s="16" t="n">
        <x:v>0.09891827593772395</x:v>
      </x:c>
      <x:c r="J200" s="16" t="n">
        <x:v>0.2061346981707159</x:v>
      </x:c>
    </x:row>
    <x:row r="201">
      <x:c r="A201" t="str">
        <x:v>P200</x:v>
      </x:c>
      <x:c r="B201" s="24" t="n">
        <x:v>0.07542624378406271</x:v>
      </x:c>
      <x:c r="C201" s="24" t="n">
        <x:v>0.06321214632478495</x:v>
      </x:c>
      <x:c r="D201" s="26" t="n">
        <x:v>0.5604341229301429</x:v>
      </x:c>
      <x:c r="E201" s="16" t="n">
        <x:v>0.21890157201256868</x:v>
      </x:c>
      <x:c r="F201" s="16" t="n">
        <x:v>0.1289232872293395</x:v>
      </x:c>
      <x:c r="G201" s="16" t="n">
        <x:v>0.18184814377447986</x:v>
      </x:c>
      <x:c r="H201" s="16" t="n">
        <x:v>0.21914682061248925</x:v>
      </x:c>
      <x:c r="I201" s="16" t="n">
        <x:v>0.10308222223887097</x:v>
      </x:c>
      <x:c r="J201" s="16" t="n">
        <x:v>0.1480979541322516</x:v>
      </x:c>
    </x:row>
    <x:row r="202">
      <x:c r="A202" t="str">
        <x:v>P201</x:v>
      </x:c>
      <x:c r="B202" s="24" t="n">
        <x:v>0.0947666280368209</x:v>
      </x:c>
      <x:c r="C202" s="24" t="n">
        <x:v>0.07804339258328671</x:v>
      </x:c>
      <x:c r="D202" s="26" t="n">
        <x:v>0.701745865011888</x:v>
      </x:c>
      <x:c r="E202" s="16" t="n">
        <x:v>0.0854459837195049</x:v>
      </x:c>
      <x:c r="F202" s="16" t="n">
        <x:v>0.17770887780480427</x:v>
      </x:c>
      <x:c r="G202" s="16" t="n">
        <x:v>0.11029625538075867</x:v>
      </x:c>
      <x:c r="H202" s="16" t="n">
        <x:v>0.05078603050181736</x:v>
      </x:c>
      <x:c r="I202" s="16" t="n">
        <x:v>0.3249466633898788</x:v>
      </x:c>
      <x:c r="J202" s="16" t="n">
        <x:v>0.25081618920323584</x:v>
      </x:c>
    </x:row>
    <x:row r="203">
      <x:c r="A203" t="str">
        <x:v>P202</x:v>
      </x:c>
      <x:c r="B203" s="24" t="n">
        <x:v>0.08506952118020461</x:v>
      </x:c>
      <x:c r="C203" s="24" t="n">
        <x:v>0.07608035139687186</x:v>
      </x:c>
      <x:c r="D203" s="26" t="n">
        <x:v>0.5923937041917724</x:v>
      </x:c>
      <x:c r="E203" s="16" t="n">
        <x:v>0.1779682060641603</x:v>
      </x:c>
      <x:c r="F203" s="16" t="n">
        <x:v>0.2522477294471035</x:v>
      </x:c>
      <x:c r="G203" s="16" t="n">
        <x:v>0.22712943244936276</x:v>
      </x:c>
      <x:c r="H203" s="16" t="n">
        <x:v>0.11471476094382158</x:v>
      </x:c>
      <x:c r="I203" s="16" t="n">
        <x:v>0.07951850845469637</x:v>
      </x:c>
      <x:c r="J203" s="16" t="n">
        <x:v>0.14842136264085545</x:v>
      </x:c>
    </x:row>
    <x:row r="204">
      <x:c r="A204" t="str">
        <x:v>P203</x:v>
      </x:c>
      <x:c r="B204" s="24" t="n">
        <x:v>0.08632479780281033</x:v>
      </x:c>
      <x:c r="C204" s="24" t="n">
        <x:v>0.07383463962489176</x:v>
      </x:c>
      <x:c r="D204" s="26" t="n">
        <x:v>0.6274127975454074</x:v>
      </x:c>
      <x:c r="E204" s="16" t="n">
        <x:v>0.22490777202620754</x:v>
      </x:c>
      <x:c r="F204" s="16" t="n">
        <x:v>0.24600573428729713</x:v>
      </x:c>
      <x:c r="G204" s="16" t="n">
        <x:v>0.24719115366503855</x:v>
      </x:c>
      <x:c r="H204" s="16" t="n">
        <x:v>0.10464407936748947</x:v>
      </x:c>
      <x:c r="I204" s="16" t="n">
        <x:v>0.14623151911843255</x:v>
      </x:c>
      <x:c r="J204" s="16" t="n">
        <x:v>0.03101974153553474</x:v>
      </x:c>
    </x:row>
    <x:row r="205">
      <x:c r="A205" t="str">
        <x:v>P204</x:v>
      </x:c>
      <x:c r="B205" s="24" t="n">
        <x:v>0.10536501895211181</x:v>
      </x:c>
      <x:c r="C205" s="24" t="n">
        <x:v>0.095612898879755</x:v>
      </x:c>
      <x:c r="D205" s="26" t="n">
        <x:v>0.6836422670785912</x:v>
      </x:c>
      <x:c r="E205" s="16" t="n">
        <x:v>0.21794190511045408</x:v>
      </x:c>
      <x:c r="F205" s="16" t="n">
        <x:v>0.38134166196042674</x:v>
      </x:c>
      <x:c r="G205" s="16" t="n">
        <x:v>0.08094392774079805</x:v>
      </x:c>
      <x:c r="H205" s="16" t="n">
        <x:v>0.06484145910544725</x:v>
      </x:c>
      <x:c r="I205" s="16" t="n">
        <x:v>0.1651510740231546</x:v>
      </x:c>
      <x:c r="J205" s="16" t="n">
        <x:v>0.08977997205971949</x:v>
      </x:c>
    </x:row>
    <x:row r="206">
      <x:c r="A206" t="str">
        <x:v>P205</x:v>
      </x:c>
      <x:c r="B206" s="24" t="n">
        <x:v>0.08608435052761765</x:v>
      </x:c>
      <x:c r="C206" s="24" t="n">
        <x:v>0.06552736803730136</x:v>
      </x:c>
      <x:c r="D206" s="26" t="n">
        <x:v>0.7032840156403687</x:v>
      </x:c>
      <x:c r="E206" s="16" t="n">
        <x:v>0.09830949529995739</x:v>
      </x:c>
      <x:c r="F206" s="16" t="n">
        <x:v>0.052300584135582015</x:v>
      </x:c>
      <x:c r="G206" s="16" t="n">
        <x:v>0.22105591595761576</x:v>
      </x:c>
      <x:c r="H206" s="16" t="n">
        <x:v>0.08891259979417675</x:v>
      </x:c>
      <x:c r="I206" s="16" t="n">
        <x:v>0.5272046853995794</x:v>
      </x:c>
      <x:c r="J206" s="16" t="n">
        <x:v>0.012216719413088507</x:v>
      </x:c>
    </x:row>
    <x:row r="207">
      <x:c r="A207" t="str">
        <x:v>P206</x:v>
      </x:c>
      <x:c r="B207" s="24" t="n">
        <x:v>0.06351378684404252</x:v>
      </x:c>
      <x:c r="C207" s="24" t="n">
        <x:v>0.03570281847674938</x:v>
      </x:c>
      <x:c r="D207" s="26" t="n">
        <x:v>0.6585974958631157</x:v>
      </x:c>
      <x:c r="E207" s="16" t="n">
        <x:v>0.01230350810373668</x:v>
      </x:c>
      <x:c r="F207" s="16" t="n">
        <x:v>0.11130877352958633</x:v>
      </x:c>
      <x:c r="G207" s="16" t="n">
        <x:v>0.3728481559801543</x:v>
      </x:c>
      <x:c r="H207" s="16" t="n">
        <x:v>0.3665778343957009</x:v>
      </x:c>
      <x:c r="I207" s="16" t="n">
        <x:v>0.11387104524858184</x:v>
      </x:c>
      <x:c r="J207" s="16" t="n">
        <x:v>0.02309068274224007</x:v>
      </x:c>
    </x:row>
    <x:row r="208">
      <x:c r="A208" t="str">
        <x:v>P207</x:v>
      </x:c>
      <x:c r="B208" s="24" t="n">
        <x:v>0.07103909009672171</x:v>
      </x:c>
      <x:c r="C208" s="24" t="n">
        <x:v>0.05994866092399874</x:v>
      </x:c>
      <x:c r="D208" s="26" t="n">
        <x:v>0.5177611912978709</x:v>
      </x:c>
      <x:c r="E208" s="16" t="n">
        <x:v>0.2485651308603122</x:v>
      </x:c>
      <x:c r="F208" s="16" t="n">
        <x:v>0.0888920034578587</x:v>
      </x:c>
      <x:c r="G208" s="16" t="n">
        <x:v>0.3060845791355169</x:v>
      </x:c>
      <x:c r="H208" s="16" t="n">
        <x:v>0.135054271242201</x:v>
      </x:c>
      <x:c r="I208" s="16" t="n">
        <x:v>0.1601535613694563</x:v>
      </x:c>
      <x:c r="J208" s="16" t="n">
        <x:v>0.06125045393465473</x:v>
      </x:c>
    </x:row>
    <x:row r="209">
      <x:c r="A209" t="str">
        <x:v>P208</x:v>
      </x:c>
      <x:c r="B209" s="24" t="n">
        <x:v>0.08328502447954689</x:v>
      </x:c>
      <x:c r="C209" s="24" t="n">
        <x:v>0.0687056457147834</x:v>
      </x:c>
      <x:c r="D209" s="26" t="n">
        <x:v>0.6300068069985877</x:v>
      </x:c>
      <x:c r="E209" s="16" t="n">
        <x:v>0.2135981745917358</x:v>
      </x:c>
      <x:c r="F209" s="16" t="n">
        <x:v>0.2416652500847962</x:v>
      </x:c>
      <x:c r="G209" s="16" t="n">
        <x:v>0.21920342139306218</x:v>
      </x:c>
      <x:c r="H209" s="16" t="n">
        <x:v>0.20259071062032127</x:v>
      </x:c>
      <x:c r="I209" s="16" t="n">
        <x:v>0.10314320326067139</x:v>
      </x:c>
      <x:c r="J209" s="16" t="n">
        <x:v>0.01979924004941324</x:v>
      </x:c>
    </x:row>
    <x:row r="210">
      <x:c r="A210" t="str">
        <x:v>P209</x:v>
      </x:c>
      <x:c r="B210" s="24" t="n">
        <x:v>0.083375864229156</x:v>
      </x:c>
      <x:c r="C210" s="24" t="n">
        <x:v>0.06700331923277643</x:v>
      </x:c>
      <x:c r="D210" s="26" t="n">
        <x:v>0.647368887479496</x:v>
      </x:c>
      <x:c r="E210" s="16" t="n">
        <x:v>0.010024816475697525</x:v>
      </x:c>
      <x:c r="F210" s="16" t="n">
        <x:v>0.22970233779916577</x:v>
      </x:c>
      <x:c r="G210" s="16" t="n">
        <x:v>0.3413280223343312</x:v>
      </x:c>
      <x:c r="H210" s="16" t="n">
        <x:v>0.07237871983770845</x:v>
      </x:c>
      <x:c r="I210" s="16" t="n">
        <x:v>0.16535733157396842</x:v>
      </x:c>
      <x:c r="J210" s="16" t="n">
        <x:v>0.18120877197912863</x:v>
      </x:c>
    </x:row>
    <x:row r="211">
      <x:c r="A211" t="str">
        <x:v>P210</x:v>
      </x:c>
      <x:c r="B211" s="24" t="n">
        <x:v>0.08325730920938357</x:v>
      </x:c>
      <x:c r="C211" s="24" t="n">
        <x:v>0.07855348716535757</x:v>
      </x:c>
      <x:c r="D211" s="26" t="n">
        <x:v>0.5506733153465939</x:v>
      </x:c>
      <x:c r="E211" s="16" t="n">
        <x:v>0.3426219739500728</x:v>
      </x:c>
      <x:c r="F211" s="16" t="n">
        <x:v>0.03804315556749</x:v>
      </x:c>
      <x:c r="G211" s="16" t="n">
        <x:v>0.0267529268347218</x:v>
      </x:c>
      <x:c r="H211" s="16" t="n">
        <x:v>0.09077573811990802</x:v>
      </x:c>
      <x:c r="I211" s="16" t="n">
        <x:v>0.27903014040276</x:v>
      </x:c>
      <x:c r="J211" s="16" t="n">
        <x:v>0.2227760651250474</x:v>
      </x:c>
    </x:row>
    <x:row r="212">
      <x:c r="A212" t="str">
        <x:v>P211</x:v>
      </x:c>
      <x:c r="B212" s="24" t="n">
        <x:v>0.07382640963745724</x:v>
      </x:c>
      <x:c r="C212" s="24" t="n">
        <x:v>0.08021714934491846</x:v>
      </x:c>
      <x:c r="D212" s="26" t="n">
        <x:v>0.4216855113114294</x:v>
      </x:c>
      <x:c r="E212" s="16" t="n">
        <x:v>0.2814637988909773</x:v>
      </x:c>
      <x:c r="F212" s="16" t="n">
        <x:v>0.152287585481532</x:v>
      </x:c>
      <x:c r="G212" s="16" t="n">
        <x:v>0.25890431796185376</x:v>
      </x:c>
      <x:c r="H212" s="16" t="n">
        <x:v>0.05422806316747758</x:v>
      </x:c>
      <x:c r="I212" s="16" t="n">
        <x:v>0.006099664743178997</x:v>
      </x:c>
      <x:c r="J212" s="16" t="n">
        <x:v>0.24701656975498026</x:v>
      </x:c>
    </x:row>
    <x:row r="213">
      <x:c r="A213" t="str">
        <x:v>P212</x:v>
      </x:c>
      <x:c r="B213" s="24" t="n">
        <x:v>0.06726925323430244</x:v>
      </x:c>
      <x:c r="C213" s="24" t="n">
        <x:v>0.061394237238468936</x:v>
      </x:c>
      <x:c r="D213" s="26" t="n">
        <x:v>0.44416633320783133</x:v>
      </x:c>
      <x:c r="E213" s="16" t="n">
        <x:v>0.15873750889744223</x:v>
      </x:c>
      <x:c r="F213" s="16" t="n">
        <x:v>0.03464654705231538</x:v>
      </x:c>
      <x:c r="G213" s="16" t="n">
        <x:v>0.20093194858717348</x:v>
      </x:c>
      <x:c r="H213" s="16" t="n">
        <x:v>0.20034520177646123</x:v>
      </x:c>
      <x:c r="I213" s="16" t="n">
        <x:v>0.09466261120351088</x:v>
      </x:c>
      <x:c r="J213" s="16" t="n">
        <x:v>0.31067618248309664</x:v>
      </x:c>
    </x:row>
    <x:row r="214">
      <x:c r="A214" t="str">
        <x:v>P213</x:v>
      </x:c>
      <x:c r="B214" s="24" t="n">
        <x:v>0.09073423167764738</x:v>
      </x:c>
      <x:c r="C214" s="24" t="n">
        <x:v>0.07644044928143123</x:v>
      </x:c>
      <x:c r="D214" s="26" t="n">
        <x:v>0.663709229270211</x:v>
      </x:c>
      <x:c r="E214" s="16" t="n">
        <x:v>0.2653463885998264</x:v>
      </x:c>
      <x:c r="F214" s="16" t="n">
        <x:v>0.14599752557833212</x:v>
      </x:c>
      <x:c r="G214" s="16" t="n">
        <x:v>0.07570917627554528</x:v>
      </x:c>
      <x:c r="H214" s="16" t="n">
        <x:v>0.09451682291675136</x:v>
      </x:c>
      <x:c r="I214" s="16" t="n">
        <x:v>0.2888248257745807</x:v>
      </x:c>
      <x:c r="J214" s="16" t="n">
        <x:v>0.12960526085496424</x:v>
      </x:c>
    </x:row>
    <x:row r="215">
      <x:c r="A215" t="str">
        <x:v>P214</x:v>
      </x:c>
      <x:c r="B215" s="24" t="n">
        <x:v>0.07352808895069862</x:v>
      </x:c>
      <x:c r="C215" s="24" t="n">
        <x:v>0.051759196293616944</x:v>
      </x:c>
      <x:c r="D215" s="26" t="n">
        <x:v>0.6477706639898769</x:v>
      </x:c>
      <x:c r="E215" s="16" t="n">
        <x:v>0.16229235169361242</x:v>
      </x:c>
      <x:c r="F215" s="16" t="n">
        <x:v>0.044004732204273665</x:v>
      </x:c>
      <x:c r="G215" s="16" t="n">
        <x:v>0.16495117286673355</x:v>
      </x:c>
      <x:c r="H215" s="16" t="n">
        <x:v>0.2711789928367807</x:v>
      </x:c>
      <x:c r="I215" s="16" t="n">
        <x:v>0.2482973396682066</x:v>
      </x:c>
      <x:c r="J215" s="16" t="n">
        <x:v>0.10927541073039296</x:v>
      </x:c>
    </x:row>
    <x:row r="216">
      <x:c r="A216" t="str">
        <x:v>P215</x:v>
      </x:c>
      <x:c r="B216" s="24" t="n">
        <x:v>0.07716305247372723</x:v>
      </x:c>
      <x:c r="C216" s="24" t="n">
        <x:v>0.0645724642418027</x:v>
      </x:c>
      <x:c r="D216" s="26" t="n">
        <x:v>0.5755247675629009</x:v>
      </x:c>
      <x:c r="E216" s="16" t="n">
        <x:v>0.08675588526493382</x:v>
      </x:c>
      <x:c r="F216" s="16" t="n">
        <x:v>0.19617703462175143</x:v>
      </x:c>
      <x:c r="G216" s="16" t="n">
        <x:v>0.190860525725657</x:v>
      </x:c>
      <x:c r="H216" s="16" t="n">
        <x:v>0.2573217723963199</x:v>
      </x:c>
      <x:c r="I216" s="16" t="n">
        <x:v>0.02771500222020714</x:v>
      </x:c>
      <x:c r="J216" s="16" t="n">
        <x:v>0.24116977977113058</x:v>
      </x:c>
    </x:row>
    <x:row r="217">
      <x:c r="A217" t="str">
        <x:v>P216</x:v>
      </x:c>
      <x:c r="B217" s="24" t="n">
        <x:v>0.07905985406558425</x:v>
      </x:c>
      <x:c r="C217" s="24" t="n">
        <x:v>0.06569267149952088</x:v>
      </x:c>
      <x:c r="D217" s="26" t="n">
        <x:v>0.5945846496114734</x:v>
      </x:c>
      <x:c r="E217" s="16" t="n">
        <x:v>0.32100476802919575</x:v>
      </x:c>
      <x:c r="F217" s="16" t="n">
        <x:v>0.0560988188287594</x:v>
      </x:c>
      <x:c r="G217" s="16" t="n">
        <x:v>0.13553234370714348</x:v>
      </x:c>
      <x:c r="H217" s="16" t="n">
        <x:v>0.15838276731014503</x:v>
      </x:c>
      <x:c r="I217" s="16" t="n">
        <x:v>0.2833417208164975</x:v>
      </x:c>
      <x:c r="J217" s="16" t="n">
        <x:v>0.045639581308258854</x:v>
      </x:c>
    </x:row>
    <x:row r="218">
      <x:c r="A218" t="str">
        <x:v>P217</x:v>
      </x:c>
      <x:c r="B218" s="24" t="n">
        <x:v>0.07071590803952654</x:v>
      </x:c>
      <x:c r="C218" s="24" t="n">
        <x:v>0.06180262353706023</x:v>
      </x:c>
      <x:c r="D218" s="26" t="n">
        <x:v>0.49700006701345945</x:v>
      </x:c>
      <x:c r="E218" s="16" t="n">
        <x:v>0.008357146676478838</x:v>
      </x:c>
      <x:c r="F218" s="16" t="n">
        <x:v>0.14151761694629236</x:v>
      </x:c>
      <x:c r="G218" s="16" t="n">
        <x:v>0.3730554778034231</x:v>
      </x:c>
      <x:c r="H218" s="16" t="n">
        <x:v>0.10263548475988729</x:v>
      </x:c>
      <x:c r="I218" s="16" t="n">
        <x:v>0.06979240536873635</x:v>
      </x:c>
      <x:c r="J218" s="16" t="n">
        <x:v>0.3046418684451821</x:v>
      </x:c>
    </x:row>
    <x:row r="219">
      <x:c r="A219" t="str">
        <x:v>P218</x:v>
      </x:c>
      <x:c r="B219" s="24" t="n">
        <x:v>0.09444064607023495</x:v>
      </x:c>
      <x:c r="C219" s="24" t="n">
        <x:v>0.07034009607658749</x:v>
      </x:c>
      <x:c r="D219" s="26" t="n">
        <x:v>0.773963203163087</x:v>
      </x:c>
      <x:c r="E219" s="16" t="n">
        <x:v>0.012609674867890327</x:v>
      </x:c>
      <x:c r="F219" s="16" t="n">
        <x:v>0.24516463023125992</x:v>
      </x:c>
      <x:c r="G219" s="16" t="n">
        <x:v>0.1650351643234671</x:v>
      </x:c>
      <x:c r="H219" s="16" t="n">
        <x:v>0.15399628927698436</x:v>
      </x:c>
      <x:c r="I219" s="16" t="n">
        <x:v>0.28791008454099853</x:v>
      </x:c>
      <x:c r="J219" s="16" t="n">
        <x:v>0.13528415675939987</x:v>
      </x:c>
    </x:row>
    <x:row r="220">
      <x:c r="A220" t="str">
        <x:v>P219</x:v>
      </x:c>
      <x:c r="B220" s="24" t="n">
        <x:v>0.07304888629924688</x:v>
      </x:c>
      <x:c r="C220" s="24" t="n">
        <x:v>0.0492423675764857</x:v>
      </x:c>
      <x:c r="D220" s="26" t="n">
        <x:v>0.6711473864028512</x:v>
      </x:c>
      <x:c r="E220" s="16" t="n">
        <x:v>0.15277427969779978</x:v>
      </x:c>
      <x:c r="F220" s="16" t="n">
        <x:v>0.08441265087853755</x:v>
      </x:c>
      <x:c r="G220" s="16" t="n">
        <x:v>0.258134199030808</x:v>
      </x:c>
      <x:c r="H220" s="16" t="n">
        <x:v>0.2517357447631353</x:v>
      </x:c>
      <x:c r="I220" s="16" t="n">
        <x:v>0.23791551884232323</x:v>
      </x:c>
      <x:c r="J220" s="16" t="n">
        <x:v>0.015027606787396128</x:v>
      </x:c>
    </x:row>
    <x:row r="221">
      <x:c r="A221" t="str">
        <x:v>P220</x:v>
      </x:c>
      <x:c r="B221" s="24" t="n">
        <x:v>0.07481292558392671</x:v>
      </x:c>
      <x:c r="C221" s="24" t="n">
        <x:v>0.0597420885628858</x:v>
      </x:c>
      <x:c r="D221" s="26" t="n">
        <x:v>0.5827202634082985</x:v>
      </x:c>
      <x:c r="E221" s="16" t="n">
        <x:v>0.13715511935546826</x:v>
      </x:c>
      <x:c r="F221" s="16" t="n">
        <x:v>0.15381797254248944</x:v>
      </x:c>
      <x:c r="G221" s="16" t="n">
        <x:v>0.15945339957771348</x:v>
      </x:c>
      <x:c r="H221" s="16" t="n">
        <x:v>0.3009081009049086</x:v>
      </x:c>
      <x:c r="I221" s="16" t="n">
        <x:v>0.05191230722536185</x:v>
      </x:c>
      <x:c r="J221" s="16" t="n">
        <x:v>0.19675310039405836</x:v>
      </x:c>
    </x:row>
    <x:row r="222">
      <x:c r="A222" t="str">
        <x:v>P221</x:v>
      </x:c>
      <x:c r="B222" s="24" t="n">
        <x:v>0.091776048511238</x:v>
      </x:c>
      <x:c r="C222" s="24" t="n">
        <x:v>0.08118000194129818</x:v>
      </x:c>
      <x:c r="D222" s="26" t="n">
        <x:v>0.6377931420681366</x:v>
      </x:c>
      <x:c r="E222" s="16" t="n">
        <x:v>0.2963003849102595</x:v>
      </x:c>
      <x:c r="F222" s="16" t="n">
        <x:v>0.15376600973392235</x:v>
      </x:c>
      <x:c r="G222" s="16" t="n">
        <x:v>0.10276903202310292</x:v>
      </x:c>
      <x:c r="H222" s="16" t="n">
        <x:v>0.0263685953497634</x:v>
      </x:c>
      <x:c r="I222" s="16" t="n">
        <x:v>0.2919809544438582</x:v>
      </x:c>
      <x:c r="J222" s="16" t="n">
        <x:v>0.12881502353909355</x:v>
      </x:c>
    </x:row>
    <x:row r="223">
      <x:c r="A223" t="str">
        <x:v>P222</x:v>
      </x:c>
      <x:c r="B223" s="24" t="n">
        <x:v>0.0777027745681853</x:v>
      </x:c>
      <x:c r="C223" s="24" t="n">
        <x:v>0.05947645125016063</x:v>
      </x:c>
      <x:c r="D223" s="26" t="n">
        <x:v>0.6339109643513487</x:v>
      </x:c>
      <x:c r="E223" s="16" t="n">
        <x:v>0.12071247422463309</x:v>
      </x:c>
      <x:c r="F223" s="16" t="n">
        <x:v>0.08473602131775095</x:v>
      </x:c>
      <x:c r="G223" s="16" t="n">
        <x:v>0.09417759025021766</x:v>
      </x:c>
      <x:c r="H223" s="16" t="n">
        <x:v>0.2678467861085549</x:v>
      </x:c>
      <x:c r="I223" s="16" t="n">
        <x:v>0.18604951961260963</x:v>
      </x:c>
      <x:c r="J223" s="16" t="n">
        <x:v>0.24647760848623385</x:v>
      </x:c>
    </x:row>
    <x:row r="224">
      <x:c r="A224" t="str">
        <x:v>P223</x:v>
      </x:c>
      <x:c r="B224" s="24" t="n">
        <x:v>0.09232871004368448</x:v>
      </x:c>
      <x:c r="C224" s="24" t="n">
        <x:v>0.07268482492469151</x:v>
      </x:c>
      <x:c r="D224" s="26" t="n">
        <x:v>0.7199399613041934</x:v>
      </x:c>
      <x:c r="E224" s="16" t="n">
        <x:v>0.13136833468456144</x:v>
      </x:c>
      <x:c r="F224" s="16" t="n">
        <x:v>0.24029460308106282</x:v>
      </x:c>
      <x:c r="G224" s="16" t="n">
        <x:v>0.2580227128808793</x:v>
      </x:c>
      <x:c r="H224" s="16" t="n">
        <x:v>0.049379848708561</x:v>
      </x:c>
      <x:c r="I224" s="16" t="n">
        <x:v>0.288106067857934</x:v>
      </x:c>
      <x:c r="J224" s="16" t="n">
        <x:v>0.032828432787001434</x:v>
      </x:c>
    </x:row>
    <x:row r="225">
      <x:c r="A225" t="str">
        <x:v>P224</x:v>
      </x:c>
      <x:c r="B225" s="24" t="n">
        <x:v>0.07960441764042825</x:v>
      </x:c>
      <x:c r="C225" s="24" t="n">
        <x:v>0.06792158479311475</x:v>
      </x:c>
      <x:c r="D225" s="26" t="n">
        <x:v>0.5830903056967978</x:v>
      </x:c>
      <x:c r="E225" s="16" t="n">
        <x:v>0.17348072003763312</x:v>
      </x:c>
      <x:c r="F225" s="16" t="n">
        <x:v>0.11851728100219117</x:v>
      </x:c>
      <x:c r="G225" s="16" t="n">
        <x:v>0.2154689841797081</x:v>
      </x:c>
      <x:c r="H225" s="16" t="n">
        <x:v>0.09175157827146559</x:v>
      </x:c>
      <x:c r="I225" s="16" t="n">
        <x:v>0.19132341577044149</x:v>
      </x:c>
      <x:c r="J225" s="16" t="n">
        <x:v>0.2094580207385605</x:v>
      </x:c>
    </x:row>
    <x:row r="226">
      <x:c r="A226" t="str">
        <x:v>P225</x:v>
      </x:c>
      <x:c r="B226" s="24" t="n">
        <x:v>0.08692067631385791</x:v>
      </x:c>
      <x:c r="C226" s="24" t="n">
        <x:v>0.06975451964095455</x:v>
      </x:c>
      <x:c r="D226" s="26" t="n">
        <x:v>0.672654281835376</x:v>
      </x:c>
      <x:c r="E226" s="16" t="n">
        <x:v>0.037742094429547866</x:v>
      </x:c>
      <x:c r="F226" s="16" t="n">
        <x:v>0.3275904146562126</x:v>
      </x:c>
      <x:c r="G226" s="16" t="n">
        <x:v>0.2917803641552253</x:v>
      </x:c>
      <x:c r="H226" s="16" t="n">
        <x:v>0.19991970673376167</x:v>
      </x:c>
      <x:c r="I226" s="16" t="n">
        <x:v>0.08117219073997042</x:v>
      </x:c>
      <x:c r="J226" s="16" t="n">
        <x:v>0.06179522928528233</x:v>
      </x:c>
    </x:row>
    <x:row r="227">
      <x:c r="A227" t="str">
        <x:v>P226</x:v>
      </x:c>
      <x:c r="B227" s="24" t="n">
        <x:v>0.08097671207872859</x:v>
      </x:c>
      <x:c r="C227" s="24" t="n">
        <x:v>0.06545402773386466</x:v>
      </x:c>
      <x:c r="D227" s="26" t="n">
        <x:v>0.6260380529268487</x:v>
      </x:c>
      <x:c r="E227" s="16" t="n">
        <x:v>0.22001045868403846</x:v>
      </x:c>
      <x:c r="F227" s="16" t="n">
        <x:v>0.1382735597483888</x:v>
      </x:c>
      <x:c r="G227" s="16" t="n">
        <x:v>0.26609502864131623</x:v>
      </x:c>
      <x:c r="H227" s="16" t="n">
        <x:v>0.08518172394569386</x:v>
      </x:c>
      <x:c r="I227" s="16" t="n">
        <x:v>0.24193968605979851</x:v>
      </x:c>
      <x:c r="J227" s="16" t="n">
        <x:v>0.04849954292076418</x:v>
      </x:c>
    </x:row>
    <x:row r="228">
      <x:c r="A228" t="str">
        <x:v>P227</x:v>
      </x:c>
      <x:c r="B228" s="24" t="n">
        <x:v>0.06272136889137592</x:v>
      </x:c>
      <x:c r="C228" s="24" t="n">
        <x:v>0.0415571768713449</x:v>
      </x:c>
      <x:c r="D228" s="26" t="n">
        <x:v>0.5467495773766836</x:v>
      </x:c>
      <x:c r="E228" s="16" t="n">
        <x:v>0.09700310594566877</x:v>
      </x:c>
      <x:c r="F228" s="16" t="n">
        <x:v>0.02760805682227453</x:v>
      </x:c>
      <x:c r="G228" s="16" t="n">
        <x:v>0.29436029773638084</x:v>
      </x:c>
      <x:c r="H228" s="16" t="n">
        <x:v>0.30731203607901403</x:v>
      </x:c>
      <x:c r="I228" s="16" t="n">
        <x:v>0.15375409889911404</x:v>
      </x:c>
      <x:c r="J228" s="16" t="n">
        <x:v>0.11996240451754774</x:v>
      </x:c>
    </x:row>
    <x:row r="229">
      <x:c r="A229" t="str">
        <x:v>P228</x:v>
      </x:c>
      <x:c r="B229" s="24" t="n">
        <x:v>0.08457926960095241</x:v>
      </x:c>
      <x:c r="C229" s="24" t="n">
        <x:v>0.07461790397263007</x:v>
      </x:c>
      <x:c r="D229" s="26" t="n">
        <x:v>0.597433956564957</x:v>
      </x:c>
      <x:c r="E229" s="16" t="n">
        <x:v>0.2491587285069721</x:v>
      </x:c>
      <x:c r="F229" s="16" t="n">
        <x:v>0.1356345588045172</x:v>
      </x:c>
      <x:c r="G229" s="16" t="n">
        <x:v>0.05320109696640028</x:v>
      </x:c>
      <x:c r="H229" s="16" t="n">
        <x:v>0.16887657152275304</x:v>
      </x:c>
      <x:c r="I229" s="16" t="n">
        <x:v>0.16618215680475495</x:v>
      </x:c>
      <x:c r="J229" s="16" t="n">
        <x:v>0.22694688739460245</x:v>
      </x:c>
    </x:row>
    <x:row r="230">
      <x:c r="A230" t="str">
        <x:v>P229</x:v>
      </x:c>
      <x:c r="B230" s="24" t="n">
        <x:v>0.08904885558873388</x:v>
      </x:c>
      <x:c r="C230" s="24" t="n">
        <x:v>0.07656323261670693</x:v>
      </x:c>
      <x:c r="D230" s="26" t="n">
        <x:v>0.6406319836870483</x:v>
      </x:c>
      <x:c r="E230" s="16" t="n">
        <x:v>0.18787753530021717</x:v>
      </x:c>
      <x:c r="F230" s="16" t="n">
        <x:v>0.2527188833451442</x:v>
      </x:c>
      <x:c r="G230" s="16" t="n">
        <x:v>0.0574260640713689</x:v>
      </x:c>
      <x:c r="H230" s="16" t="n">
        <x:v>0.24094852865452113</x:v>
      </x:c>
      <x:c r="I230" s="16" t="n">
        <x:v>0.07792817909059785</x:v>
      </x:c>
      <x:c r="J230" s="16" t="n">
        <x:v>0.18310080953815083</x:v>
      </x:c>
    </x:row>
    <x:row r="231">
      <x:c r="A231" t="str">
        <x:v>P230</x:v>
      </x:c>
      <x:c r="B231" s="24" t="n">
        <x:v>0.09912286937975501</x:v>
      </x:c>
      <x:c r="C231" s="24" t="n">
        <x:v>0.08039066081448526</x:v>
      </x:c>
      <x:c r="D231" s="26" t="n">
        <x:v>0.7354445004027371</x:v>
      </x:c>
      <x:c r="E231" s="16" t="n">
        <x:v>0.24472525415789642</x:v>
      </x:c>
      <x:c r="F231" s="16" t="n">
        <x:v>0.23553884763267402</x:v>
      </x:c>
      <x:c r="G231" s="16" t="n">
        <x:v>0.0209699166259932</x:v>
      </x:c>
      <x:c r="H231" s="16" t="n">
        <x:v>0.14246315610903149</x:v>
      </x:c>
      <x:c r="I231" s="16" t="n">
        <x:v>0.28758852485713887</x:v>
      </x:c>
      <x:c r="J231" s="16" t="n">
        <x:v>0.0687143006172661</x:v>
      </x:c>
    </x:row>
    <x:row r="232">
      <x:c r="A232" t="str">
        <x:v>P231</x:v>
      </x:c>
      <x:c r="B232" s="24" t="n">
        <x:v>0.0841835280393024</x:v>
      </x:c>
      <x:c r="C232" s="24" t="n">
        <x:v>0.06715314993278819</x:v>
      </x:c>
      <x:c r="D232" s="26" t="n">
        <x:v>0.6579516833316759</x:v>
      </x:c>
      <x:c r="E232" s="16" t="n">
        <x:v>0.15755367890439906</x:v>
      </x:c>
      <x:c r="F232" s="16" t="n">
        <x:v>0.12705265871190952</x:v>
      </x:c>
      <x:c r="G232" s="16" t="n">
        <x:v>0.2100387774779654</x:v>
      </x:c>
      <x:c r="H232" s="16" t="n">
        <x:v>0.08005021534563196</x:v>
      </x:c>
      <x:c r="I232" s="16" t="n">
        <x:v>0.28178098676743124</x:v>
      </x:c>
      <x:c r="J232" s="16" t="n">
        <x:v>0.14352368279266303</x:v>
      </x:c>
    </x:row>
    <x:row r="233">
      <x:c r="A233" t="str">
        <x:v>P232</x:v>
      </x:c>
      <x:c r="B233" s="24" t="n">
        <x:v>0.09154868393731008</x:v>
      </x:c>
      <x:c r="C233" s="24" t="n">
        <x:v>0.0656315384407927</x:v>
      </x:c>
      <x:c r="D233" s="26" t="n">
        <x:v>0.7854255006350797</x:v>
      </x:c>
      <x:c r="E233" s="16" t="n">
        <x:v>0.01563798492826573</x:v>
      </x:c>
      <x:c r="F233" s="16" t="n">
        <x:v>0.2766484922285319</x:v>
      </x:c>
      <x:c r="G233" s="16" t="n">
        <x:v>0.21708297885846078</x:v>
      </x:c>
      <x:c r="H233" s="16" t="n">
        <x:v>0.2120582049478634</x:v>
      </x:c>
      <x:c r="I233" s="16" t="n">
        <x:v>0.23706194386279503</x:v>
      </x:c>
      <x:c r="J233" s="16" t="n">
        <x:v>0.04151039517408317</x:v>
      </x:c>
    </x:row>
    <x:row r="234">
      <x:c r="A234" t="str">
        <x:v>P233</x:v>
      </x:c>
      <x:c r="B234" s="24" t="n">
        <x:v>0.06583433833888175</x:v>
      </x:c>
      <x:c r="C234" s="24" t="n">
        <x:v>0.05876244659325045</x:v>
      </x:c>
      <x:c r="D234" s="26" t="n">
        <x:v>0.4396402777049981</x:v>
      </x:c>
      <x:c r="E234" s="16" t="n">
        <x:v>0.062281724741947854</x:v>
      </x:c>
      <x:c r="F234" s="16" t="n">
        <x:v>0.019829980636599936</x:v>
      </x:c>
      <x:c r="G234" s="16" t="n">
        <x:v>0.1120187349435038</x:v>
      </x:c>
      <x:c r="H234" s="16" t="n">
        <x:v>0.32435140798875456</x:v>
      </x:c>
      <x:c r="I234" s="16" t="n">
        <x:v>0.06373267088726697</x:v>
      </x:c>
      <x:c r="J234" s="16" t="n">
        <x:v>0.417785480801927</x:v>
      </x:c>
    </x:row>
    <x:row r="235">
      <x:c r="A235" t="str">
        <x:v>P234</x:v>
      </x:c>
      <x:c r="B235" s="24" t="n">
        <x:v>0.08699793389847232</x:v>
      </x:c>
      <x:c r="C235" s="24" t="n">
        <x:v>0.07395638553684132</x:v>
      </x:c>
      <x:c r="D235" s="26" t="n">
        <x:v>0.6354817580296747</x:v>
      </x:c>
      <x:c r="E235" s="16" t="n">
        <x:v>0.13655065721947768</x:v>
      </x:c>
      <x:c r="F235" s="16" t="n">
        <x:v>0.24002043811930301</x:v>
      </x:c>
      <x:c r="G235" s="16" t="n">
        <x:v>0.16627302841303246</x:v>
      </x:c>
      <x:c r="H235" s="16" t="n">
        <x:v>0.15620303061237154</x:v>
      </x:c>
      <x:c r="I235" s="16" t="n">
        <x:v>0.11104438419094283</x:v>
      </x:c>
      <x:c r="J235" s="16" t="n">
        <x:v>0.1899084614448726</x:v>
      </x:c>
    </x:row>
    <x:row r="236">
      <x:c r="A236" t="str">
        <x:v>P235</x:v>
      </x:c>
      <x:c r="B236" s="24" t="n">
        <x:v>0.10551713238479454</x:v>
      </x:c>
      <x:c r="C236" s="24" t="n">
        <x:v>0.09093209998494393</x:v>
      </x:c>
      <x:c r="D236" s="26" t="n">
        <x:v>0.7205060962591046</x:v>
      </x:c>
      <x:c r="E236" s="16" t="n">
        <x:v>0.17789965871914734</x:v>
      </x:c>
      <x:c r="F236" s="16" t="n">
        <x:v>0.35341899622341355</x:v>
      </x:c>
      <x:c r="G236" s="16" t="n">
        <x:v>0.11576647924759292</x:v>
      </x:c>
      <x:c r="H236" s="16" t="n">
        <x:v>0.039088272914280055</x:v>
      </x:c>
      <x:c r="I236" s="16" t="n">
        <x:v>0.2436268272638304</x:v>
      </x:c>
      <x:c r="J236" s="16" t="n">
        <x:v>0.07019976563173577</x:v>
      </x:c>
    </x:row>
    <x:row r="237">
      <x:c r="A237" t="str">
        <x:v>P236</x:v>
      </x:c>
      <x:c r="B237" s="24" t="n">
        <x:v>0.091889673080223</x:v>
      </x:c>
      <x:c r="C237" s="24" t="n">
        <x:v>0.07753891457167718</x:v>
      </x:c>
      <x:c r="D237" s="26" t="n">
        <x:v>0.6692081436380702</x:v>
      </x:c>
      <x:c r="E237" s="16" t="n">
        <x:v>0.057216573712573146</x:v>
      </x:c>
      <x:c r="F237" s="16" t="n">
        <x:v>0.31191993721172917</x:v>
      </x:c>
      <x:c r="G237" s="16" t="n">
        <x:v>0.23967140777231558</x:v>
      </x:c>
      <x:c r="H237" s="16" t="n">
        <x:v>0.10204522085334468</x:v>
      </x:c>
      <x:c r="I237" s="16" t="n">
        <x:v>0.12967634464046923</x:v>
      </x:c>
      <x:c r="J237" s="16" t="n">
        <x:v>0.1594705158095681</x:v>
      </x:c>
    </x:row>
    <x:row r="238">
      <x:c r="A238" t="str">
        <x:v>P237</x:v>
      </x:c>
      <x:c r="B238" s="24" t="n">
        <x:v>0.08130389739815813</x:v>
      </x:c>
      <x:c r="C238" s="24" t="n">
        <x:v>0.08037103225145995</x:v>
      </x:c>
      <x:c r="D238" s="26" t="n">
        <x:v>0.5139152284237066</x:v>
      </x:c>
      <x:c r="E238" s="16" t="n">
        <x:v>0.13732148397314353</x:v>
      </x:c>
      <x:c r="F238" s="16" t="n">
        <x:v>0.14236918987645453</x:v>
      </x:c>
      <x:c r="G238" s="16" t="n">
        <x:v>0.11079832614304497</x:v>
      </x:c>
      <x:c r="H238" s="16" t="n">
        <x:v>0.10565126084898484</x:v>
      </x:c>
      <x:c r="I238" s="16" t="n">
        <x:v>0.08364292243119258</x:v>
      </x:c>
      <x:c r="J238" s="16" t="n">
        <x:v>0.4202168167271794</x:v>
      </x:c>
    </x:row>
    <x:row r="239">
      <x:c r="A239" t="str">
        <x:v>P238</x:v>
      </x:c>
      <x:c r="B239" s="24" t="n">
        <x:v>0.09088746759284594</x:v>
      </x:c>
      <x:c r="C239" s="24" t="n">
        <x:v>0.08465642157153838</x:v>
      </x:c>
      <x:c r="D239" s="26" t="n">
        <x:v>0.601105818651262</x:v>
      </x:c>
      <x:c r="E239" s="16" t="n">
        <x:v>0.19256319057918156</x:v>
      </x:c>
      <x:c r="F239" s="16" t="n">
        <x:v>0.24908172300608172</x:v>
      </x:c>
      <x:c r="G239" s="16" t="n">
        <x:v>0.15820779072365748</x:v>
      </x:c>
      <x:c r="H239" s="16" t="n">
        <x:v>0.04417450379182315</x:v>
      </x:c>
      <x:c r="I239" s="16" t="n">
        <x:v>0.12624300891397386</x:v>
      </x:c>
      <x:c r="J239" s="16" t="n">
        <x:v>0.22972978298528227</x:v>
      </x:c>
    </x:row>
    <x:row r="240">
      <x:c r="A240" t="str">
        <x:v>P239</x:v>
      </x:c>
      <x:c r="B240" s="24" t="n">
        <x:v>0.10077872442349545</x:v>
      </x:c>
      <x:c r="C240" s="24" t="n">
        <x:v>0.0851331598134862</x:v>
      </x:c>
      <x:c r="D240" s="26" t="n">
        <x:v>0.7139253911948339</x:v>
      </x:c>
      <x:c r="E240" s="16" t="n">
        <x:v>0.18732840620494728</x:v>
      </x:c>
      <x:c r="F240" s="16" t="n">
        <x:v>0.24953394390009676</x:v>
      </x:c>
      <x:c r="G240" s="16" t="n">
        <x:v>0.07455421172956253</x:v>
      </x:c>
      <x:c r="H240" s="16" t="n">
        <x:v>0.04316354871776936</x:v>
      </x:c>
      <x:c r="I240" s="16" t="n">
        <x:v>0.29505526860807657</x:v>
      </x:c>
      <x:c r="J240" s="16" t="n">
        <x:v>0.15036462083954763</x:v>
      </x:c>
    </x:row>
    <x:row r="241">
      <x:c r="A241" t="str">
        <x:v>P240</x:v>
      </x:c>
      <x:c r="B241" s="24" t="n">
        <x:v>0.08427700568756968</x:v>
      </x:c>
      <x:c r="C241" s="24" t="n">
        <x:v>0.0697213830107668</x:v>
      </x:c>
      <x:c r="D241" s="26" t="n">
        <x:v>0.635056331007263</x:v>
      </x:c>
      <x:c r="E241" s="16" t="n">
        <x:v>0.28682509280097207</x:v>
      </x:c>
      <x:c r="F241" s="16" t="n">
        <x:v>0.18264910334478346</x:v>
      </x:c>
      <x:c r="G241" s="16" t="n">
        <x:v>0.10280219460488847</x:v>
      </x:c>
      <x:c r="H241" s="16" t="n">
        <x:v>0.22808312007075912</x:v>
      </x:c>
      <x:c r="I241" s="16" t="n">
        <x:v>0.15068842539773614</x:v>
      </x:c>
      <x:c r="J241" s="16" t="n">
        <x:v>0.04895206378086067</x:v>
      </x:c>
    </x:row>
    <x:row r="242">
      <x:c r="A242" t="str">
        <x:v>P241</x:v>
      </x:c>
      <x:c r="B242" s="24" t="n">
        <x:v>0.08607818244829679</x:v>
      </x:c>
      <x:c r="C242" s="24" t="n">
        <x:v>0.07136595806220229</x:v>
      </x:c>
      <x:c r="D242" s="26" t="n">
        <x:v>0.6456605319883078</x:v>
      </x:c>
      <x:c r="E242" s="16" t="n">
        <x:v>0.16005321871333072</x:v>
      </x:c>
      <x:c r="F242" s="16" t="n">
        <x:v>0.20436664424745724</x:v>
      </x:c>
      <x:c r="G242" s="16" t="n">
        <x:v>0.17375059273653978</x:v>
      </x:c>
      <x:c r="H242" s="16" t="n">
        <x:v>0.1376663787988149</x:v>
      </x:c>
      <x:c r="I242" s="16" t="n">
        <x:v>0.16066749387406173</x:v>
      </x:c>
      <x:c r="J242" s="16" t="n">
        <x:v>0.16349567162979567</x:v>
      </x:c>
    </x:row>
    <x:row r="243">
      <x:c r="A243" t="str">
        <x:v>P242</x:v>
      </x:c>
      <x:c r="B243" s="24" t="n">
        <x:v>0.126319940768014</x:v>
      </x:c>
      <x:c r="C243" s="24" t="n">
        <x:v>0.1081150985239911</x:v>
      </x:c>
      <x:c r="D243" s="26" t="n">
        <x:v>0.7984078259787122</x:v>
      </x:c>
      <x:c r="E243" s="16" t="n">
        <x:v>0.0013184232060717768</x:v>
      </x:c>
      <x:c r="F243" s="16" t="n">
        <x:v>0.5076922054419337</x:v>
      </x:c>
      <x:c r="G243" s="16" t="n">
        <x:v>0.01692537107321735</x:v>
      </x:c>
      <x:c r="H243" s="16" t="n">
        <x:v>0.03803690571835953</x:v>
      </x:c>
      <x:c r="I243" s="16" t="n">
        <x:v>0.3574970918213428</x:v>
      </x:c>
      <x:c r="J243" s="16" t="n">
        <x:v>0.07853000273907491</x:v>
      </x:c>
    </x:row>
    <x:row r="244">
      <x:c r="A244" t="str">
        <x:v>P243</x:v>
      </x:c>
      <x:c r="B244" s="24" t="n">
        <x:v>0.08899755899238904</x:v>
      </x:c>
      <x:c r="C244" s="24" t="n">
        <x:v>0.08615115085542074</x:v>
      </x:c>
      <x:c r="D244" s="26" t="n">
        <x:v>0.5687394597272062</x:v>
      </x:c>
      <x:c r="E244" s="16" t="n">
        <x:v>0.20660753280768643</x:v>
      </x:c>
      <x:c r="F244" s="16" t="n">
        <x:v>0.2685266617763047</x:v>
      </x:c>
      <x:c r="G244" s="16" t="n">
        <x:v>0.19764546463681434</x:v>
      </x:c>
      <x:c r="H244" s="16" t="n">
        <x:v>0.03661647688242111</x:v>
      </x:c>
      <x:c r="I244" s="16" t="n">
        <x:v>0.07600924627758768</x:v>
      </x:c>
      <x:c r="J244" s="16" t="n">
        <x:v>0.21459461761918572</x:v>
      </x:c>
    </x:row>
    <x:row r="245">
      <x:c r="A245" t="str">
        <x:v>P244</x:v>
      </x:c>
      <x:c r="B245" s="24" t="n">
        <x:v>0.08972947700478207</x:v>
      </x:c>
      <x:c r="C245" s="24" t="n">
        <x:v>0.08293911705793233</x:v>
      </x:c>
      <x:c r="D245" s="26" t="n">
        <x:v>0.5995901423696904</x:v>
      </x:c>
      <x:c r="E245" s="16" t="n">
        <x:v>0.27127483636362887</x:v>
      </x:c>
      <x:c r="F245" s="16" t="n">
        <x:v>0.21883668749420068</x:v>
      </x:c>
      <x:c r="G245" s="16" t="n">
        <x:v>0.12315994757901605</x:v>
      </x:c>
      <x:c r="H245" s="16" t="n">
        <x:v>0.0742237131297277</x:v>
      </x:c>
      <x:c r="I245" s="16" t="n">
        <x:v>0.14710121490032224</x:v>
      </x:c>
      <x:c r="J245" s="16" t="n">
        <x:v>0.1654036005331044</x:v>
      </x:c>
    </x:row>
    <x:row r="246">
      <x:c r="A246" t="str">
        <x:v>P245</x:v>
      </x:c>
      <x:c r="B246" s="24" t="n">
        <x:v>0.10103482605543412</x:v>
      </x:c>
      <x:c r="C246" s="24" t="n">
        <x:v>0.08546450742093988</x:v>
      </x:c>
      <x:c r="D246" s="26" t="n">
        <x:v>0.7141540728108126</x:v>
      </x:c>
      <x:c r="E246" s="16" t="n">
        <x:v>0.12037553404058224</x:v>
      </x:c>
      <x:c r="F246" s="16" t="n">
        <x:v>0.31248551880349185</x:v>
      </x:c>
      <x:c r="G246" s="16" t="n">
        <x:v>0.07907465348447795</x:v>
      </x:c>
      <x:c r="H246" s="16" t="n">
        <x:v>0.10577962163232014</x:v>
      </x:c>
      <x:c r="I246" s="16" t="n">
        <x:v>0.20505964851392106</x:v>
      </x:c>
      <x:c r="J246" s="16" t="n">
        <x:v>0.17722502352520672</x:v>
      </x:c>
    </x:row>
    <x:row r="247">
      <x:c r="A247" t="str">
        <x:v>P246</x:v>
      </x:c>
      <x:c r="B247" s="24" t="n">
        <x:v>0.07362308548200414</x:v>
      </x:c>
      <x:c r="C247" s="24" t="n">
        <x:v>0.056494478825239836</x:v>
      </x:c>
      <x:c r="D247" s="26" t="n">
        <x:v>0.5951570167770531</x:v>
      </x:c>
      <x:c r="E247" s="16" t="n">
        <x:v>0.12979852438940442</x:v>
      </x:c>
      <x:c r="F247" s="16" t="n">
        <x:v>0.012285383227651533</x:v>
      </x:c>
      <x:c r="G247" s="16" t="n">
        <x:v>0.13443642168091824</x:v>
      </x:c>
      <x:c r="H247" s="16" t="n">
        <x:v>0.2341726363733709</x:v>
      </x:c>
      <x:c r="I247" s="16" t="n">
        <x:v>0.26183182553609025</x:v>
      </x:c>
      <x:c r="J247" s="16" t="n">
        <x:v>0.2274752087925646</x:v>
      </x:c>
    </x:row>
    <x:row r="248">
      <x:c r="A248" t="str">
        <x:v>P247</x:v>
      </x:c>
      <x:c r="B248" s="24" t="n">
        <x:v>0.09270674004092228</x:v>
      </x:c>
      <x:c r="C248" s="24" t="n">
        <x:v>0.07130561924844894</x:v>
      </x:c>
      <x:c r="D248" s="26" t="n">
        <x:v>0.7391667107928351</x:v>
      </x:c>
      <x:c r="E248" s="16" t="n">
        <x:v>0.10594825600664799</x:v>
      </x:c>
      <x:c r="F248" s="16" t="n">
        <x:v>0.19514033328209957</x:v>
      </x:c>
      <x:c r="G248" s="16" t="n">
        <x:v>0.11222724610411261</x:v>
      </x:c>
      <x:c r="H248" s="16" t="n">
        <x:v>0.1416301892456496</x:v>
      </x:c>
      <x:c r="I248" s="16" t="n">
        <x:v>0.2894532729445219</x:v>
      </x:c>
      <x:c r="J248" s="16" t="n">
        <x:v>0.15560070241696844</x:v>
      </x:c>
    </x:row>
    <x:row r="249">
      <x:c r="A249" t="str">
        <x:v>P248</x:v>
      </x:c>
      <x:c r="B249" s="24" t="n">
        <x:v>0.07325086343775289</x:v>
      </x:c>
      <x:c r="C249" s="24" t="n">
        <x:v>0.06744260651855642</x:v>
      </x:c>
      <x:c r="D249" s="26" t="n">
        <x:v>0.4930245901543576</x:v>
      </x:c>
      <x:c r="E249" s="16" t="n">
        <x:v>0.2571152503554142</x:v>
      </x:c>
      <x:c r="F249" s="16" t="n">
        <x:v>0.17811336045580636</x:v>
      </x:c>
      <x:c r="G249" s="16" t="n">
        <x:v>0.24257780047659727</x:v>
      </x:c>
      <x:c r="H249" s="16" t="n">
        <x:v>0.21739198513547056</x:v>
      </x:c>
      <x:c r="I249" s="16" t="n">
        <x:v>0.011484421809199648</x:v>
      </x:c>
      <x:c r="J249" s="16" t="n">
        <x:v>0.09331718176751196</x:v>
      </x:c>
    </x:row>
    <x:row r="250">
      <x:c r="A250" t="str">
        <x:v>P249</x:v>
      </x:c>
      <x:c r="B250" s="24" t="n">
        <x:v>0.07600387672545961</x:v>
      </x:c>
      <x:c r="C250" s="24" t="n">
        <x:v>0.07868900381219598</x:v>
      </x:c>
      <x:c r="D250" s="26" t="n">
        <x:v>0.45754648020946703</x:v>
      </x:c>
      <x:c r="E250" s="16" t="n">
        <x:v>0.24453576606885694</x:v>
      </x:c>
      <x:c r="F250" s="16" t="n">
        <x:v>0.17865249383257187</x:v>
      </x:c>
      <x:c r="G250" s="16" t="n">
        <x:v>0.27267353039957526</x:v>
      </x:c>
      <x:c r="H250" s="16" t="n">
        <x:v>0.055953070598815505</x:v>
      </x:c>
      <x:c r="I250" s="16" t="n">
        <x:v>0.018319015973914297</x:v>
      </x:c>
      <x:c r="J250" s="16" t="n">
        <x:v>0.2298661231262661</x:v>
      </x:c>
    </x:row>
    <x:row r="251">
      <x:c r="A251" t="str">
        <x:v>P250</x:v>
      </x:c>
      <x:c r="B251" s="24" t="n">
        <x:v>0.08536935219009556</x:v>
      </x:c>
      <x:c r="C251" s="24" t="n">
        <x:v>0.07211184282969818</x:v>
      </x:c>
      <x:c r="D251" s="26" t="n">
        <x:v>0.6291525831234321</x:v>
      </x:c>
      <x:c r="E251" s="16" t="n">
        <x:v>0.14615606187115662</x:v>
      </x:c>
      <x:c r="F251" s="16" t="n">
        <x:v>0.15183420276821377</x:v>
      </x:c>
      <x:c r="G251" s="16" t="n">
        <x:v>0.19521595871552636</x:v>
      </x:c>
      <x:c r="H251" s="16" t="n">
        <x:v>0.05944745032140917</x:v>
      </x:c>
      <x:c r="I251" s="16" t="n">
        <x:v>0.2296085682496486</x:v>
      </x:c>
      <x:c r="J251" s="16" t="n">
        <x:v>0.21773775807404538</x:v>
      </x:c>
    </x:row>
    <x:row r="252">
      <x:c r="A252" t="str">
        <x:v>Current</x:v>
      </x:c>
      <x:c r="B252" s="24" t="n">
        <x:v>0.07748560630912005</x:v>
      </x:c>
      <x:c r="C252" s="24" t="n">
        <x:v>0.07102020928316437</x:v>
      </x:c>
      <x:c r="D252" s="26" t="n">
        <x:v>0.5278160496494927</x:v>
      </x:c>
      <x:c r="E252" s="16" t="n">
        <x:v>0.3</x:v>
      </x:c>
      <x:c r="F252" s="16" t="n">
        <x:v>0.15</x:v>
      </x:c>
      <x:c r="G252" s="16" t="n">
        <x:v>0.2</x:v>
      </x:c>
      <x:c r="H252" s="16" t="n">
        <x:v>0.15</x:v>
      </x:c>
      <x:c r="I252" s="16" t="n">
        <x:v>0.1</x:v>
      </x:c>
      <x:c r="J252" s="16" t="n">
        <x:v>0.1</x:v>
      </x:c>
    </x:row>
  </x:sheetData>
  <x:pageMargins left="0.7" right="0.7" top="0.75" bottom="0.75" header="0.3" footer="0.3"/>
  <x:tableParts count="1">
    <x:tablePart xmlns:r="http://schemas.openxmlformats.org/officeDocument/2006/relationships" r:id="Rb7355483b3c5458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7.940000057220459" hidden="0" customWidth="1"/>
    <x:col min="2" max="2" width="19.110000610351562" hidden="0" customWidth="1"/>
    <x:col min="3" max="3" width="16.81999969482422" hidden="0" customWidth="1"/>
    <x:col min="4" max="4" width="7" hidden="0" customWidth="1"/>
    <x:col min="5" max="5" width="36.470001220703125" hidden="0" customWidth="1"/>
    <x:col min="6" max="6" width="44.0099983215332" hidden="0" customWidth="1"/>
  </x:cols>
  <x:sheetData>
    <x:row r="1">
      <x:c r="A1" s="8" t="str">
        <x:v>Exercise #</x:v>
      </x:c>
      <x:c r="B1" s="8" t="str">
        <x:v>Data Sheet</x:v>
      </x:c>
      <x:c r="C1" s="8" t="str">
        <x:v>Rows</x:v>
      </x:c>
      <x:c r="D1" s="8" t="str">
        <x:v>Columns</x:v>
      </x:c>
      <x:c r="E1" s="8" t="str">
        <x:v>Values</x:v>
      </x:c>
      <x:c r="F1" s="8" t="str">
        <x:v>Business Question</x:v>
      </x:c>
      <x:c r="G1" s="8"/>
      <x:c r="H1" s="8"/>
      <x:c r="I1" s="8"/>
      <x:c r="J1" s="8"/>
      <x:c r="K1" s="8"/>
    </x:row>
    <x:row r="2">
      <x:c r="A2" t="n">
        <x:v>1</x:v>
      </x:c>
      <x:c r="B2" t="str">
        <x:v>Portfolio_Inputs</x:v>
      </x:c>
      <x:c r="C2" t="str">
        <x:v>Asset Type</x:v>
      </x:c>
      <x:c r="D2" t="str"/>
      <x:c r="E2" t="str">
        <x:v>SUM Dollar Allocation</x:v>
      </x:c>
      <x:c r="F2" t="str">
        <x:v>How is capital split across asset classes?</x:v>
      </x:c>
    </x:row>
    <x:row r="3">
      <x:c r="A3" t="n">
        <x:v>2</x:v>
      </x:c>
      <x:c r="B3" t="str">
        <x:v>Risk_Metrics</x:v>
      </x:c>
      <x:c r="C3" t="str">
        <x:v>Asset Type</x:v>
      </x:c>
      <x:c r="D3" t="str"/>
      <x:c r="E3" t="str">
        <x:v>AVERAGE Sharpe Ratio</x:v>
      </x:c>
      <x:c r="F3" t="str">
        <x:v>Which asset type has best risk-adjusted performance?</x:v>
      </x:c>
    </x:row>
    <x:row r="4">
      <x:c r="A4" t="n">
        <x:v>3</x:v>
      </x:c>
      <x:c r="B4" t="str">
        <x:v>Risk_Metrics</x:v>
      </x:c>
      <x:c r="C4" t="str">
        <x:v>Ticker</x:v>
      </x:c>
      <x:c r="D4" t="str"/>
      <x:c r="E4" t="str">
        <x:v>MAX Annual Volatility</x:v>
      </x:c>
      <x:c r="F4" t="str">
        <x:v>Which holdings are riskiest?</x:v>
      </x:c>
    </x:row>
    <x:row r="5">
      <x:c r="A5" t="n">
        <x:v>4</x:v>
      </x:c>
      <x:c r="B5" t="str">
        <x:v>Monthly_Returns</x:v>
      </x:c>
      <x:c r="C5" t="str">
        <x:v>Month</x:v>
      </x:c>
      <x:c r="D5" t="str"/>
      <x:c r="E5" t="str">
        <x:v>Portfolio_Return and Market_Return_SPY</x:v>
      </x:c>
      <x:c r="F5" t="str">
        <x:v>How did portfolio returns compare to SPY over time?</x:v>
      </x:c>
    </x:row>
    <x:row r="6">
      <x:c r="A6" t="n">
        <x:v>5</x:v>
      </x:c>
      <x:c r="B6" t="str">
        <x:v>Monthly_Returns</x:v>
      </x:c>
      <x:c r="C6" t="str">
        <x:v>Month</x:v>
      </x:c>
      <x:c r="D6" t="str"/>
      <x:c r="E6" t="str">
        <x:v>AVERAGE Excess_Return_vs_SPY</x:v>
      </x:c>
      <x:c r="F6" t="str">
        <x:v>Which months outperformed the benchmark?</x:v>
      </x:c>
    </x:row>
    <x:row r="7">
      <x:c r="A7" t="n">
        <x:v>6</x:v>
      </x:c>
      <x:c r="B7" t="str">
        <x:v>Monte_Carlo_Scenarios</x:v>
      </x:c>
      <x:c r="C7" t="str">
        <x:v>Ending Value Buckets</x:v>
      </x:c>
      <x:c r="D7" t="str"/>
      <x:c r="E7" t="str">
        <x:v>COUNT Simulation_ID</x:v>
      </x:c>
      <x:c r="F7" t="str">
        <x:v>What is the distribution of possible 10-year outcomes?</x:v>
      </x:c>
    </x:row>
    <x:row r="8">
      <x:c r="A8" t="n">
        <x:v>7</x:v>
      </x:c>
      <x:c r="B8" t="str">
        <x:v>Optimizer_Portfolios</x:v>
      </x:c>
      <x:c r="C8" t="str">
        <x:v>Portfolio_ID</x:v>
      </x:c>
      <x:c r="D8" t="str"/>
      <x:c r="E8" t="str">
        <x:v>Return, Volatility, Sharpe</x:v>
      </x:c>
      <x:c r="F8" t="str">
        <x:v>Which optimizer portfolios dominate current portfolio?</x:v>
      </x:c>
    </x:row>
    <x:row r="9">
      <x:c r="A9" t="n">
        <x:v>8</x:v>
      </x:c>
      <x:c r="B9" t="str">
        <x:v>Optimizer_Portfolios</x:v>
      </x:c>
      <x:c r="C9" t="str">
        <x:v>Portfolio_ID</x:v>
      </x:c>
      <x:c r="D9" t="str"/>
      <x:c r="E9" t="str">
        <x:v>MAX Sharpe</x:v>
      </x:c>
      <x:c r="F9" t="str">
        <x:v>Find highest Sharpe allocation.</x:v>
      </x:c>
    </x:row>
    <x:row r="10">
      <x:c r="A10" t="n">
        <x:v>9</x:v>
      </x:c>
      <x:c r="B10" t="str">
        <x:v>Risk_Metrics</x:v>
      </x:c>
      <x:c r="C10" t="str">
        <x:v>Ticker</x:v>
      </x:c>
      <x:c r="D10" t="str"/>
      <x:c r="E10" t="str">
        <x:v>Annual Return and Annual Volatility</x:v>
      </x:c>
      <x:c r="F10" t="str">
        <x:v>Create risk-return comparison table.</x:v>
      </x:c>
    </x:row>
    <x:row r="11">
      <x:c r="A11" t="n">
        <x:v>10</x:v>
      </x:c>
      <x:c r="B11" t="str">
        <x:v>Monthly_Returns</x:v>
      </x:c>
      <x:c r="C11" t="str">
        <x:v>Month</x:v>
      </x:c>
      <x:c r="D11" t="str"/>
      <x:c r="E11" t="str">
        <x:v>COUNT months with negative portfolio return</x:v>
      </x:c>
      <x:c r="F11" t="str">
        <x:v>How often did the portfolio lose money?</x:v>
      </x:c>
    </x:row>
  </x:sheetData>
  <x:pageMargins left="0.7" right="0.7" top="0.75" bottom="0.75" header="0.3" footer="0.3"/>
  <x:tableParts count="1">
    <x:tablePart xmlns:r="http://schemas.openxmlformats.org/officeDocument/2006/relationships" r:id="Rffc9efa8217d468a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.8799999952316284" hidden="0" customWidth="1"/>
    <x:col min="2" max="2" width="35.2599983215332" hidden="0" customWidth="1"/>
    <x:col min="3" max="3" width="163.92999267578125" hidden="0" customWidth="1"/>
  </x:cols>
  <x:sheetData>
    <x:row r="1">
      <x:c r="A1" s="8" t="str">
        <x:v>#</x:v>
      </x:c>
      <x:c r="B1" s="8" t="str">
        <x:v>Question</x:v>
      </x:c>
      <x:c r="C1" s="8" t="str">
        <x:v>SQL Skeleton / Solution</x:v>
      </x:c>
      <x:c r="D1" s="8"/>
      <x:c r="E1" s="8"/>
      <x:c r="F1" s="8"/>
      <x:c r="G1" s="8"/>
      <x:c r="H1" s="8"/>
      <x:c r="I1" s="8"/>
      <x:c r="J1" s="8"/>
      <x:c r="K1" s="8"/>
    </x:row>
    <x:row r="2">
      <x:c r="A2" t="n">
        <x:v>1</x:v>
      </x:c>
      <x:c r="B2" t="str">
        <x:v>Average annual return by asset type</x:v>
      </x:c>
      <x:c r="C2" t="str">
        <x:v>SELECT asset_type, AVG(annual_return) AS avg_return FROM risk_metrics GROUP BY asset_type ORDER BY avg_return DESC;</x:v>
      </x:c>
    </x:row>
    <x:row r="3">
      <x:c r="A3" t="n">
        <x:v>2</x:v>
      </x:c>
      <x:c r="B3" t="str">
        <x:v>Highest Sharpe holdings</x:v>
      </x:c>
      <x:c r="C3" t="str">
        <x:v>SELECT ticker, sharpe_ratio FROM risk_metrics ORDER BY sharpe_ratio DESC;</x:v>
      </x:c>
    </x:row>
    <x:row r="4">
      <x:c r="A4" t="n">
        <x:v>3</x:v>
      </x:c>
      <x:c r="B4" t="str">
        <x:v>Riskier than portfolio volatility</x:v>
      </x:c>
      <x:c r="C4" t="str">
        <x:v>SELECT ticker, annual_volatility FROM risk_metrics WHERE annual_volatility &gt; (SELECT portfolio_annual_volatility FROM portfolio_summary);</x:v>
      </x:c>
    </x:row>
    <x:row r="5">
      <x:c r="A5" t="n">
        <x:v>4</x:v>
      </x:c>
      <x:c r="B5" t="str">
        <x:v>Monthly portfolio outperformance vs SPY</x:v>
      </x:c>
      <x:c r="C5" t="str">
        <x:v>SELECT month, portfolio_return, market_return_spy, excess_return_vs_spy FROM monthly_returns WHERE excess_return_vs_spy &gt; 0 ORDER BY month;</x:v>
      </x:c>
    </x:row>
    <x:row r="6">
      <x:c r="A6" t="n">
        <x:v>5</x:v>
      </x:c>
      <x:c r="B6" t="str">
        <x:v>Count positive and negative months</x:v>
      </x:c>
      <x:c r="C6" t="str">
        <x:v>SELECT CASE WHEN portfolio_return &gt;= 0 THEN 'Positive' ELSE 'Negative' END AS month_type, COUNT(*) AS months FROM monthly_returns GROUP BY month_type;</x:v>
      </x:c>
    </x:row>
    <x:row r="7">
      <x:c r="A7" t="n">
        <x:v>6</x:v>
      </x:c>
      <x:c r="B7" t="str">
        <x:v>Worst 5 monthly portfolio returns</x:v>
      </x:c>
      <x:c r="C7" t="str">
        <x:v>SELECT month, portfolio_return FROM monthly_returns ORDER BY portfolio_return ASC LIMIT 5;</x:v>
      </x:c>
    </x:row>
    <x:row r="8">
      <x:c r="A8" t="n">
        <x:v>7</x:v>
      </x:c>
      <x:c r="B8" t="str">
        <x:v>Monte Carlo downside probability</x:v>
      </x:c>
      <x:c r="C8" t="str">
        <x:v>SELECT AVG(CASE WHEN ending_value_10y &lt; 200000 THEN 1.0 ELSE 0 END) AS prob_loss FROM monte_carlo_scenarios;</x:v>
      </x:c>
    </x:row>
    <x:row r="9">
      <x:c r="A9" t="n">
        <x:v>8</x:v>
      </x:c>
      <x:c r="B9" t="str">
        <x:v>Monte Carlo percentile buckets</x:v>
      </x:c>
      <x:c r="C9" t="str">
        <x:v>SELECT CASE WHEN ending_value_10y &lt; 250000 THEN '&lt;250k' WHEN ending_value_10y &lt; 400000 THEN '250k-400k' ELSE '400k+' END AS bucket, COUNT(*) FROM monte_carlo_scenarios GROUP BY bucket;</x:v>
      </x:c>
    </x:row>
    <x:row r="10">
      <x:c r="A10" t="n">
        <x:v>9</x:v>
      </x:c>
      <x:c r="B10" t="str">
        <x:v>Optimizer portfolios beating current Sharpe</x:v>
      </x:c>
      <x:c r="C10" t="str">
        <x:v>SELECT * FROM optimizer_portfolios WHERE sharpe &gt; (SELECT sharpe FROM optimizer_portfolios WHERE portfolio_id='Current') ORDER BY sharpe DESC;</x:v>
      </x:c>
    </x:row>
    <x:row r="11">
      <x:c r="A11" t="n">
        <x:v>10</x:v>
      </x:c>
      <x:c r="B11" t="str">
        <x:v>Efficient frontier candidates</x:v>
      </x:c>
      <x:c r="C11" t="str">
        <x:v>SELECT portfolio_id, return, volatility, sharpe FROM optimizer_portfolios WHERE return &gt; 0.08 AND volatility &lt; 0.12 ORDER BY sharpe DESC;</x:v>
      </x:c>
    </x:row>
    <x:row r="12">
      <x:c r="A12" t="n">
        <x:v>11</x:v>
      </x:c>
      <x:c r="B12" t="str">
        <x:v>Allocation concentration in optimizer</x:v>
      </x:c>
      <x:c r="C12" t="str">
        <x:v>SELECT portfolio_id, spy_weight, qqq_weight, agg_weight, bil_weight, vnq_weight, vig_weight FROM optimizer_portfolios ORDER BY sharpe DESC LIMIT 10;</x:v>
      </x:c>
    </x:row>
    <x:row r="13">
      <x:c r="A13" t="n">
        <x:v>12</x:v>
      </x:c>
      <x:c r="B13" t="str">
        <x:v>Find portfolios with at least 30% bonds/cash</x:v>
      </x:c>
      <x:c r="C13" t="str">
        <x:v>SELECT * FROM optimizer_portfolios WHERE agg_weight + bil_weight &gt;= 0.30 ORDER BY sharpe DESC;</x:v>
      </x:c>
    </x:row>
  </x:sheetData>
  <x:pageMargins left="0.7" right="0.7" top="0.75" bottom="0.75" header="0.3" footer="0.3"/>
  <x:tableParts count="1">
    <x:tablePart xmlns:r="http://schemas.openxmlformats.org/officeDocument/2006/relationships" r:id="R254c7d9d43744a13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7.190000534057617" hidden="0" customWidth="1"/>
    <x:col min="2" max="2" width="16.149999618530273" hidden="0" customWidth="1"/>
    <x:col min="3" max="3" width="19.110000610351562" hidden="0" customWidth="1"/>
    <x:col min="4" max="4" width="51.81999969482422" hidden="0" customWidth="1"/>
  </x:cols>
  <x:sheetData>
    <x:row r="1">
      <x:c r="A1" s="8" t="str">
        <x:v>Task</x:v>
      </x:c>
      <x:c r="B1" s="8" t="str">
        <x:v>Chart/Table</x:v>
      </x:c>
      <x:c r="C1" s="8" t="str">
        <x:v>Data Source</x:v>
      </x:c>
      <x:c r="D1" s="8" t="str">
        <x:v>What to Explain</x:v>
      </x:c>
      <x:c r="E1" s="8"/>
      <x:c r="F1" s="8"/>
      <x:c r="G1" s="8"/>
      <x:c r="H1" s="8"/>
      <x:c r="I1" s="8"/>
      <x:c r="J1" s="8"/>
      <x:c r="K1" s="8"/>
    </x:row>
    <x:row r="2">
      <x:c r="A2" t="str">
        <x:v>Portfolio allocation by ticker</x:v>
      </x:c>
      <x:c r="B2" t="str">
        <x:v>Bar or pie chart</x:v>
      </x:c>
      <x:c r="C2" t="str">
        <x:v>Portfolio_Inputs</x:v>
      </x:c>
      <x:c r="D2" t="str">
        <x:v>Where the $200k is invested.</x:v>
      </x:c>
    </x:row>
    <x:row r="3">
      <x:c r="A3" t="str">
        <x:v>Portfolio return vs SPY</x:v>
      </x:c>
      <x:c r="B3" t="str">
        <x:v>Line chart</x:v>
      </x:c>
      <x:c r="C3" t="str">
        <x:v>Monthly_Returns</x:v>
      </x:c>
      <x:c r="D3" t="str">
        <x:v>Whether the portfolio beats the market and when.</x:v>
      </x:c>
    </x:row>
    <x:row r="4">
      <x:c r="A4" t="str">
        <x:v>Risk-return by ticker</x:v>
      </x:c>
      <x:c r="B4" t="str">
        <x:v>Scatterplot</x:v>
      </x:c>
      <x:c r="C4" t="str">
        <x:v>Risk_Metrics</x:v>
      </x:c>
      <x:c r="D4" t="str">
        <x:v>Which holdings offer return for risk.</x:v>
      </x:c>
    </x:row>
    <x:row r="5">
      <x:c r="A5" t="str">
        <x:v>Sharpe ratio ranking</x:v>
      </x:c>
      <x:c r="B5" t="str">
        <x:v>Bar chart</x:v>
      </x:c>
      <x:c r="C5" t="str">
        <x:v>Risk_Metrics</x:v>
      </x:c>
      <x:c r="D5" t="str">
        <x:v>Best risk-adjusted assets.</x:v>
      </x:c>
    </x:row>
    <x:row r="6">
      <x:c r="A6" t="str">
        <x:v>Correlation heatmap/table</x:v>
      </x:c>
      <x:c r="B6" t="str">
        <x:v>Formatted table</x:v>
      </x:c>
      <x:c r="C6" t="str">
        <x:v>Correlation_Data</x:v>
      </x:c>
      <x:c r="D6" t="str">
        <x:v>Diversification quality.</x:v>
      </x:c>
    </x:row>
    <x:row r="7">
      <x:c r="A7" t="str">
        <x:v>Monte Carlo outcome distribution</x:v>
      </x:c>
      <x:c r="B7" t="str">
        <x:v>Histogram/bar chart</x:v>
      </x:c>
      <x:c r="C7" t="str">
        <x:v>Monte_Carlo_Scenarios</x:v>
      </x:c>
      <x:c r="D7" t="str">
        <x:v>Downside/upside range of future wealth.</x:v>
      </x:c>
    </x:row>
    <x:row r="8">
      <x:c r="A8" t="str">
        <x:v>Efficient frontier</x:v>
      </x:c>
      <x:c r="B8" t="str">
        <x:v>Scatterplot</x:v>
      </x:c>
      <x:c r="C8" t="str">
        <x:v>Optimizer_Portfolios</x:v>
      </x:c>
      <x:c r="D8" t="str">
        <x:v>Return-volatility tradeoff.</x:v>
      </x:c>
    </x:row>
    <x:row r="9">
      <x:c r="A9" t="str">
        <x:v>Recommended allocation</x:v>
      </x:c>
      <x:c r="B9" t="str">
        <x:v>Table</x:v>
      </x:c>
      <x:c r="C9" t="str">
        <x:v>Optimizer_Portfolios</x:v>
      </x:c>
      <x:c r="D9" t="str">
        <x:v>Compare current vs highest Sharpe allocation.</x:v>
      </x:c>
    </x:row>
    <x:row r="10">
      <x:c r="A10" t="str">
        <x:v>Executive summary</x:v>
      </x:c>
      <x:c r="B10" t="str">
        <x:v>Text box</x:v>
      </x:c>
      <x:c r="C10" t="str">
        <x:v>All sheets</x:v>
      </x:c>
      <x:c r="D10" t="str">
        <x:v>Recommendation: aggressive, balanced, defensive, or optimized.</x:v>
      </x:c>
    </x:row>
  </x:sheetData>
  <x:pageMargins left="0.7" right="0.7" top="0.75" bottom="0.75" header="0.3" footer="0.3"/>
  <x:tableParts count="1">
    <x:tablePart xmlns:r="http://schemas.openxmlformats.org/officeDocument/2006/relationships" r:id="Rd0050a9e4f6e4c37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43.47000122070312" hidden="0" customWidth="1"/>
    <x:col min="2" max="2" width="10.359999656677246" hidden="0" customWidth="1"/>
    <x:col min="4" max="4" width="25.299999237060547" hidden="0" customWidth="1"/>
    <x:col min="5" max="5" width="16.290000915527344" hidden="0" customWidth="1"/>
  </x:cols>
  <x:sheetData>
    <x:row r="1">
      <x:c r="A1" s="11" t="str">
        <x:v>Investment Portfolio Analyst Dashboard</x:v>
      </x:c>
      <x:c r="B1" s="11"/>
      <x:c r="C1" s="11"/>
      <x:c r="D1" s="11"/>
      <x:c r="E1" s="11"/>
      <x:c r="F1" s="11"/>
      <x:c r="G1" s="8"/>
      <x:c r="H1" s="8"/>
      <x:c r="I1" s="8"/>
      <x:c r="J1" s="8"/>
      <x:c r="K1" s="8"/>
    </x:row>
    <x:row r="2">
      <x:c r="G2" s="4" t="str">
        <x:v>Ticker</x:v>
      </x:c>
      <x:c r="H2" s="4" t="str">
        <x:v>Allocation %</x:v>
      </x:c>
      <x:c r="J2" s="4" t="str">
        <x:v>Ticker</x:v>
      </x:c>
      <x:c r="K2" s="4" t="str">
        <x:v>Annual Return</x:v>
      </x:c>
      <x:c r="L2" s="4" t="str">
        <x:v>Volatility</x:v>
      </x:c>
    </x:row>
    <x:row r="3">
      <x:c r="A3" t="str">
        <x:v>Starting Capital</x:v>
      </x:c>
      <x:c r="B3" s="14" t="n">
        <x:v>200000</x:v>
      </x:c>
      <x:c r="D3" t="str">
        <x:v>Chart to Build</x:v>
      </x:c>
      <x:c r="E3" t="str">
        <x:v>Recommended Type</x:v>
      </x:c>
      <x:c r="G3" t="str">
        <x:v>SPY</x:v>
      </x:c>
      <x:c r="H3" s="16" t="n">
        <x:v>0.3</x:v>
      </x:c>
      <x:c r="J3" t="str">
        <x:v>SPY</x:v>
      </x:c>
      <x:c r="K3" s="24" t="n">
        <x:v>0.06726915508532016</x:v>
      </x:c>
      <x:c r="L3" s="24" t="n">
        <x:v>0.12683749205590136</x:v>
      </x:c>
    </x:row>
    <x:row r="4">
      <x:c r="A4" t="str">
        <x:v>Portfolio Annual Return</x:v>
      </x:c>
      <x:c r="B4" s="24" t="n">
        <x:f>Risk_Metrics!J2</x:f>
        <x:v>0.07748560630912005</x:v>
      </x:c>
      <x:c r="D4" t="str">
        <x:v>Allocation by Ticker</x:v>
      </x:c>
      <x:c r="E4" t="str">
        <x:v>Bar/Pie</x:v>
      </x:c>
      <x:c r="G4" t="str">
        <x:v>QQQ</x:v>
      </x:c>
      <x:c r="H4" s="16" t="n">
        <x:v>0.15</x:v>
      </x:c>
      <x:c r="J4" t="str">
        <x:v>QQQ</x:v>
      </x:c>
      <x:c r="K4" s="24" t="n">
        <x:v>0.14956683343150257</x:v>
      </x:c>
      <x:c r="L4" s="24" t="n">
        <x:v>0.1681230970302296</x:v>
      </x:c>
    </x:row>
    <x:row r="5">
      <x:c r="A5" t="str">
        <x:v>Portfolio Annual Volatility</x:v>
      </x:c>
      <x:c r="B5" s="24" t="n">
        <x:f>Risk_Metrics!J3</x:f>
        <x:v>0.07102020928316437</x:v>
      </x:c>
      <x:c r="D5" t="str">
        <x:v>Portfolio vs SPY Monthly Return</x:v>
      </x:c>
      <x:c r="E5" t="str">
        <x:v>Line</x:v>
      </x:c>
      <x:c r="G5" t="str">
        <x:v>AGG</x:v>
      </x:c>
      <x:c r="H5" s="16" t="n">
        <x:v>0.2</x:v>
      </x:c>
      <x:c r="J5" t="str">
        <x:v>AGG</x:v>
      </x:c>
      <x:c r="K5" s="24" t="n">
        <x:v>0.033005925000478165</x:v>
      </x:c>
      <x:c r="L5" s="24" t="n">
        <x:v>0.04300454892563622</x:v>
      </x:c>
    </x:row>
    <x:row r="6">
      <x:c r="A6" t="str">
        <x:v>Sharpe Ratio</x:v>
      </x:c>
      <x:c r="B6" s="26" t="n">
        <x:f>Risk_Metrics!J4</x:f>
        <x:v>0.5278160496494927</x:v>
      </x:c>
      <x:c r="D6" t="str">
        <x:v>Sharpe by Ticker</x:v>
      </x:c>
      <x:c r="E6" t="str">
        <x:v>Bar</x:v>
      </x:c>
      <x:c r="G6" t="str">
        <x:v>BIL</x:v>
      </x:c>
      <x:c r="H6" s="16" t="n">
        <x:v>0.15</x:v>
      </x:c>
      <x:c r="J6" t="str">
        <x:v>BIL</x:v>
      </x:c>
      <x:c r="K6" s="24" t="n">
        <x:v>0.049759212531681696</x:v>
      </x:c>
      <x:c r="L6" s="24" t="n">
        <x:v>0.006269623532408269</x:v>
      </x:c>
    </x:row>
    <x:row r="7">
      <x:c r="A7" t="str">
        <x:v>Expected 10-Year Value</x:v>
      </x:c>
      <x:c r="B7" s="14" t="n">
        <x:f>Risk_Metrics!J6</x:f>
        <x:v>421837.0961702187</x:v>
      </x:c>
      <x:c r="D7" t="str">
        <x:v>Monte Carlo Ending Values</x:v>
      </x:c>
      <x:c r="E7" t="str">
        <x:v>Histogram</x:v>
      </x:c>
      <x:c r="G7" t="str">
        <x:v>VNQ</x:v>
      </x:c>
      <x:c r="H7" s="16" t="n">
        <x:v>0.1</x:v>
      </x:c>
      <x:c r="J7" t="str">
        <x:v>VNQ</x:v>
      </x:c>
      <x:c r="K7" s="24" t="n">
        <x:v>0.10808228781242146</x:v>
      </x:c>
      <x:c r="L7" s="24" t="n">
        <x:v>0.10463285415318914</x:v>
      </x:c>
    </x:row>
    <x:row r="8">
      <x:c r="A8" t="str">
        <x:v>Downside Probability</x:v>
      </x:c>
      <x:c r="B8" s="16" t="n">
        <x:f>Monte_Carlo_Scenarios!E6</x:f>
        <x:v>0</x:v>
      </x:c>
      <x:c r="D8" t="str">
        <x:v>Efficient Frontier</x:v>
      </x:c>
      <x:c r="E8" t="str">
        <x:v>Scatter</x:v>
      </x:c>
      <x:c r="G8" t="str">
        <x:v>VIG</x:v>
      </x:c>
      <x:c r="H8" s="16" t="n">
        <x:v>0.1</x:v>
      </x:c>
      <x:c r="J8" t="str">
        <x:v>VIG</x:v>
      </x:c>
      <x:c r="K8" s="24" t="n">
        <x:v>0.07189159357122721</x:v>
      </x:c>
      <x:c r="L8" s="24" t="n">
        <x:v>0.1114135553538579</x:v>
      </x:c>
    </x:row>
    <x:row r="9">
      <x:c r="D9" t="str">
        <x:v>Correlation Matrix</x:v>
      </x:c>
      <x:c r="E9" t="str">
        <x:v>Heatmap-style table</x:v>
      </x:c>
    </x:row>
    <x:row r="11">
      <x:c r="A11" t="str">
        <x:v>Analyst Recommendation Template</x:v>
      </x:c>
      <x:c r="G11" s="4" t="str">
        <x:v>Month</x:v>
      </x:c>
      <x:c r="H11" s="4" t="str">
        <x:v>Portfolio Return</x:v>
      </x:c>
      <x:c r="J11" s="4" t="str">
        <x:v>Month</x:v>
      </x:c>
      <x:c r="K11" s="4" t="str">
        <x:v>SPY Return</x:v>
      </x:c>
    </x:row>
    <x:row r="12">
      <x:c r="A12" t="str">
        <x:v>Based on the current portfolio’s Sharpe ratio, volatility, drawdown, Monte Carlo downside probability, and optimizer results, I would recommend __________ because __________.</x:v>
      </x:c>
      <x:c r="G12" t="str">
        <x:v>2024-01</x:v>
      </x:c>
      <x:c r="H12" s="24" t="n">
        <x:v>0.024447500140647307</x:v>
      </x:c>
      <x:c r="J12" t="str">
        <x:v>2024-01</x:v>
      </x:c>
      <x:c r="K12" s="24" t="n">
        <x:v>0.06903227314369939</x:v>
      </x:c>
    </x:row>
    <x:row r="13">
      <x:c r="G13" t="str">
        <x:v>2024-02</x:v>
      </x:c>
      <x:c r="H13" s="24" t="n">
        <x:v>-0.005574312516587517</x:v>
      </x:c>
      <x:c r="J13" t="str">
        <x:v>2024-02</x:v>
      </x:c>
      <x:c r="K13" s="24" t="n">
        <x:v>0.0029740682810695945</x:v>
      </x:c>
    </x:row>
    <x:row r="14">
      <x:c r="G14" t="str">
        <x:v>2024-03</x:v>
      </x:c>
      <x:c r="H14" s="24" t="n">
        <x:v>0.013436611429832478</x:v>
      </x:c>
      <x:c r="J14" t="str">
        <x:v>2024-03</x:v>
      </x:c>
      <x:c r="K14" s="24" t="n">
        <x:v>0.017270926765762633</x:v>
      </x:c>
    </x:row>
    <x:row r="15">
      <x:c r="G15" t="str">
        <x:v>2024-04</x:v>
      </x:c>
      <x:c r="H15" s="24" t="n">
        <x:v>-0.030837821290584863</x:v>
      </x:c>
      <x:c r="J15" t="str">
        <x:v>2024-04</x:v>
      </x:c>
      <x:c r="K15" s="24" t="n">
        <x:v>-0.07584960220295767</x:v>
      </x:c>
    </x:row>
    <x:row r="16">
      <x:c r="G16" t="str">
        <x:v>2024-05</x:v>
      </x:c>
      <x:c r="H16" s="24" t="n">
        <x:v>0.007790474852051567</x:v>
      </x:c>
      <x:c r="J16" t="str">
        <x:v>2024-05</x:v>
      </x:c>
      <x:c r="K16" s="24" t="n">
        <x:v>0.0024627390836478493</x:v>
      </x:c>
    </x:row>
    <x:row r="17">
      <x:c r="G17" t="str">
        <x:v>2024-06</x:v>
      </x:c>
      <x:c r="H17" s="24" t="n">
        <x:v>-0.0009663274517058148</x:v>
      </x:c>
      <x:c r="J17" t="str">
        <x:v>2024-06</x:v>
      </x:c>
      <x:c r="K17" s="24" t="n">
        <x:v>-0.016678496246223484</x:v>
      </x:c>
    </x:row>
    <x:row r="18">
      <x:c r="G18" t="str">
        <x:v>2024-07</x:v>
      </x:c>
      <x:c r="H18" s="24" t="n">
        <x:v>-0.0032942474147827755</x:v>
      </x:c>
      <x:c r="J18" t="str">
        <x:v>2024-07</x:v>
      </x:c>
      <x:c r="K18" s="24" t="n">
        <x:v>-0.011246097162058436</x:v>
      </x:c>
    </x:row>
    <x:row r="19">
      <x:c r="G19" t="str">
        <x:v>2024-08</x:v>
      </x:c>
      <x:c r="H19" s="24" t="n">
        <x:v>0.001816530109461306</x:v>
      </x:c>
      <x:c r="J19" t="str">
        <x:v>2024-08</x:v>
      </x:c>
      <x:c r="K19" s="24" t="n">
        <x:v>0.001423510189362185</x:v>
      </x:c>
    </x:row>
    <x:row r="20">
      <x:c r="G20" t="str">
        <x:v>2024-09</x:v>
      </x:c>
      <x:c r="H20" s="24" t="n">
        <x:v>0.025894685149864868</x:v>
      </x:c>
      <x:c r="J20" t="str">
        <x:v>2024-09</x:v>
      </x:c>
      <x:c r="K20" s="24" t="n">
        <x:v>0.012758027288120269</x:v>
      </x:c>
    </x:row>
    <x:row r="21">
      <x:c r="G21" t="str">
        <x:v>2024-10</x:v>
      </x:c>
      <x:c r="H21" s="24" t="n">
        <x:v>-0.02524673463401017</x:v>
      </x:c>
      <x:c r="J21" t="str">
        <x:v>2024-10</x:v>
      </x:c>
      <x:c r="K21" s="24" t="n">
        <x:v>-0.029329423762421435</x:v>
      </x:c>
    </x:row>
    <x:row r="22">
      <x:c r="G22" t="str">
        <x:v>2024-11</x:v>
      </x:c>
      <x:c r="H22" s="24" t="n">
        <x:v>-0.011367435546644166</x:v>
      </x:c>
      <x:c r="J22" t="str">
        <x:v>2024-11</x:v>
      </x:c>
      <x:c r="K22" s="24" t="n">
        <x:v>-0.011279666663337195</x:v>
      </x:c>
    </x:row>
    <x:row r="23">
      <x:c r="G23" t="str">
        <x:v>2024-12</x:v>
      </x:c>
      <x:c r="H23" s="24" t="n">
        <x:v>0.008280095281000313</x:v>
      </x:c>
      <x:c r="J23" t="str">
        <x:v>2024-12</x:v>
      </x:c>
      <x:c r="K23" s="24" t="n">
        <x:v>-0.001958264766328705</x:v>
      </x:c>
    </x:row>
    <x:row r="24">
      <x:c r="G24" t="str">
        <x:v>2025-01</x:v>
      </x:c>
      <x:c r="H24" s="24" t="n">
        <x:v>0.013185570605568967</x:v>
      </x:c>
      <x:c r="J24" t="str">
        <x:v>2025-01</x:v>
      </x:c>
      <x:c r="K24" s="24" t="n">
        <x:v>0.033361559704685156</x:v>
      </x:c>
    </x:row>
    <x:row r="25">
      <x:c r="G25" t="str">
        <x:v>2025-02</x:v>
      </x:c>
      <x:c r="H25" s="24" t="n">
        <x:v>0.03217153991587742</x:v>
      </x:c>
      <x:c r="J25" t="str">
        <x:v>2025-02</x:v>
      </x:c>
      <x:c r="K25" s="24" t="n">
        <x:v>0.06239280928355264</x:v>
      </x:c>
    </x:row>
    <x:row r="26">
      <x:c r="G26" t="str">
        <x:v>2025-03</x:v>
      </x:c>
      <x:c r="H26" s="24" t="n">
        <x:v>-0.03880047553069096</x:v>
      </x:c>
      <x:c r="J26" t="str">
        <x:v>2025-03</x:v>
      </x:c>
      <x:c r="K26" s="24" t="n">
        <x:v>-0.06912954210760718</x:v>
      </x:c>
    </x:row>
    <x:row r="27">
      <x:c r="G27" t="str">
        <x:v>2025-04</x:v>
      </x:c>
      <x:c r="H27" s="24" t="n">
        <x:v>0.002465475984787127</x:v>
      </x:c>
      <x:c r="J27" t="str">
        <x:v>2025-04</x:v>
      </x:c>
      <x:c r="K27" s="24" t="n">
        <x:v>0.01810003062014095</x:v>
      </x:c>
    </x:row>
    <x:row r="28">
      <x:c r="G28" t="str">
        <x:v>2025-05</x:v>
      </x:c>
      <x:c r="H28" s="24" t="n">
        <x:v>0.030862386583273116</x:v>
      </x:c>
      <x:c r="J28" t="str">
        <x:v>2025-05</x:v>
      </x:c>
      <x:c r="K28" s="24" t="n">
        <x:v>0.01899769736316306</x:v>
      </x:c>
    </x:row>
    <x:row r="29">
      <x:c r="G29" t="str">
        <x:v>2025-06</x:v>
      </x:c>
      <x:c r="H29" s="24" t="n">
        <x:v>0.016319948920413985</x:v>
      </x:c>
      <x:c r="J29" t="str">
        <x:v>2025-06</x:v>
      </x:c>
      <x:c r="K29" s="24" t="n">
        <x:v>0.010582331247102846</x:v>
      </x:c>
    </x:row>
    <x:row r="30">
      <x:c r="G30" t="str">
        <x:v>2025-07</x:v>
      </x:c>
      <x:c r="H30" s="24" t="n">
        <x:v>-0.0015113522526510122</x:v>
      </x:c>
      <x:c r="J30" t="str">
        <x:v>2025-07</x:v>
      </x:c>
      <x:c r="K30" s="24" t="n">
        <x:v>0.002069378350413784</x:v>
      </x:c>
    </x:row>
    <x:row r="31">
      <x:c r="G31" t="str">
        <x:v>2025-08</x:v>
      </x:c>
      <x:c r="H31" s="24" t="n">
        <x:v>0.0025028058779781115</x:v>
      </x:c>
      <x:c r="J31" t="str">
        <x:v>2025-08</x:v>
      </x:c>
      <x:c r="K31" s="24" t="n">
        <x:v>-0.00622803531492126</x:v>
      </x:c>
    </x:row>
    <x:row r="32">
      <x:c r="G32" t="str">
        <x:v>2025-09</x:v>
      </x:c>
      <x:c r="H32" s="24" t="n">
        <x:v>0.026969352466511404</x:v>
      </x:c>
      <x:c r="J32" t="str">
        <x:v>2025-09</x:v>
      </x:c>
      <x:c r="K32" s="24" t="n">
        <x:v>0.06573719686946691</x:v>
      </x:c>
    </x:row>
    <x:row r="33">
      <x:c r="G33" t="str">
        <x:v>2025-10</x:v>
      </x:c>
      <x:c r="H33" s="24" t="n">
        <x:v>-0.005240532150500162</x:v>
      </x:c>
      <x:c r="J33" t="str">
        <x:v>2025-10</x:v>
      </x:c>
      <x:c r="K33" s="24" t="n">
        <x:v>-0.030615846994702964</x:v>
      </x:c>
    </x:row>
    <x:row r="34">
      <x:c r="G34" t="str">
        <x:v>2025-11</x:v>
      </x:c>
      <x:c r="H34" s="24" t="n">
        <x:v>0.02930213714432401</x:v>
      </x:c>
      <x:c r="J34" t="str">
        <x:v>2025-11</x:v>
      </x:c>
      <x:c r="K34" s="24" t="n">
        <x:v>0.03194766703617433</x:v>
      </x:c>
    </x:row>
    <x:row r="35">
      <x:c r="G35" t="str">
        <x:v>2025-12</x:v>
      </x:c>
      <x:c r="H35" s="24" t="n">
        <x:v>0.04194930357025569</x:v>
      </x:c>
      <x:c r="J35" t="str">
        <x:v>2025-12</x:v>
      </x:c>
      <x:c r="K35" s="24" t="n">
        <x:v>0.049224297758451975</x:v>
      </x:c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f5fc824e2fb14bbc"/>
</x:worksheet>
</file>